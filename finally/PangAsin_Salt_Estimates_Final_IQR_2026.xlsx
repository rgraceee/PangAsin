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tables/table3.xml" ContentType="application/vnd.openxmlformats-officedocument.spreadsheetml.table+xml"/>
  <Override PartName="/xl/worksheets/sheet17.xml" ContentType="application/vnd.openxmlformats-officedocument.spreadsheetml.worksheet+xml"/>
  <Override PartName="/xl/tables/table4.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708" tabRatio="500" firstSheet="5" activeTab="10" autoFilterDateGrouping="1"/>
  </bookViews>
  <sheets>
    <sheet name="README" sheetId="1" state="visible" r:id="rId1"/>
    <sheet name="Assumptions" sheetId="2" state="visible" r:id="rId2"/>
    <sheet name="Alaminos_Beds" sheetId="3" state="visible" r:id="rId3"/>
    <sheet name="Annual_Production" sheetId="4" state="visible" r:id="rId4"/>
    <sheet name="Salt_Beds" sheetId="5" state="visible" r:id="rId5"/>
    <sheet name="Seasonal_Profile" sheetId="6" state="visible" r:id="rId6"/>
    <sheet name="Shares" sheetId="7" state="visible" r:id="rId7"/>
    <sheet name="Monthly_Override" sheetId="8" state="visible" r:id="rId8"/>
    <sheet name="Monthly_Estimates" sheetId="9" state="visible" r:id="rId9"/>
    <sheet name="Monthly_Long" sheetId="10" state="visible" r:id="rId10"/>
    <sheet name="Testing" sheetId="11" state="visible" r:id="rId11"/>
    <sheet name="IQR_2024_25_Detail" sheetId="12" state="visible" r:id="rId12"/>
    <sheet name="IQR_2024_25_Summary" sheetId="13" state="visible" r:id="rId13"/>
    <sheet name="IQR_2024_25_Method" sheetId="14" state="visible" r:id="rId14"/>
    <sheet name="IQR_2024_25_Charts" sheetId="15" state="visible" r:id="rId15"/>
    <sheet name="2026_Monthly_Synthesis" sheetId="16" state="visible" r:id="rId16"/>
    <sheet name="2026_Annual_Production" sheetId="17" state="visible" r:id="rId17"/>
    <sheet name="2026_Method" sheetId="18" state="visible" r:id="rId18"/>
    <sheet name="2026_Annual_Chart" sheetId="19" state="visible" r:id="rId19"/>
  </sheets>
  <definedNames>
    <definedName name="_xlnm._FilterDatabase" localSheetId="11" hidden="1">'IQR_2024_25_Detail'!$A$1:$I$169</definedName>
    <definedName name="_xlnm._FilterDatabase" localSheetId="12" hidden="1">'IQR_2024_25_Summary'!$A$1:$H$15</definedName>
    <definedName name="_xlnm._FilterDatabase" localSheetId="15" hidden="1">'2026_Monthly_Synthesis'!$A$1:$G$64</definedName>
    <definedName name="_xlnm._FilterDatabase" localSheetId="16" hidden="1">'2026_Annual_Production'!$A$1:$D$8</definedName>
  </definedNames>
  <calcPr calcId="191029" calcMode="auto" fullCalcOnLoad="1" forceFullCalc="1"/>
</workbook>
</file>

<file path=xl/styles.xml><?xml version="1.0" encoding="utf-8"?>
<styleSheet xmlns="http://schemas.openxmlformats.org/spreadsheetml/2006/main">
  <numFmts count="6">
    <numFmt numFmtId="164" formatCode="0.0%"/>
    <numFmt numFmtId="165" formatCode="#,##0.0"/>
    <numFmt numFmtId="166" formatCode="0.0"/>
    <numFmt numFmtId="167" formatCode="0.000"/>
    <numFmt numFmtId="168" formatCode="0.0000%"/>
    <numFmt numFmtId="169" formatCode="0.0000"/>
  </numFmts>
  <fonts count="34">
    <font>
      <name val="Calibri"/>
      <charset val="1"/>
      <color theme="1"/>
      <sz val="11"/>
    </font>
    <font>
      <name val="Arial"/>
      <charset val="1"/>
      <b val="1"/>
      <sz val="14"/>
    </font>
    <font>
      <name val="Arial"/>
      <charset val="1"/>
      <i val="1"/>
      <color rgb="FF595959"/>
      <sz val="10"/>
    </font>
    <font>
      <name val="Arial"/>
      <charset val="1"/>
      <b val="1"/>
      <sz val="10"/>
    </font>
    <font>
      <name val="Calibri"/>
      <charset val="1"/>
      <sz val="11"/>
    </font>
    <font>
      <name val="Arial"/>
      <charset val="1"/>
      <sz val="10"/>
    </font>
    <font>
      <name val="Arial"/>
      <charset val="1"/>
      <color rgb="FF008000"/>
      <sz val="10"/>
    </font>
    <font>
      <name val="Arial"/>
      <charset val="1"/>
      <color rgb="FF0000FF"/>
      <sz val="10"/>
    </font>
    <font>
      <name val="Arial"/>
      <charset val="1"/>
      <b val="1"/>
      <color rgb="FFFFFFFF"/>
      <sz val="10"/>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1F4E78"/>
      <sz val="14"/>
    </font>
    <font>
      <b val="1"/>
      <color rgb="00FFFFFF"/>
    </font>
    <font>
      <b val="1"/>
      <color rgb="001F4E78"/>
    </font>
    <font>
      <b val="1"/>
      <color rgb="001F4E78"/>
      <sz val="15"/>
    </font>
  </fonts>
  <fills count="36">
    <fill>
      <patternFill/>
    </fill>
    <fill>
      <patternFill patternType="gray125"/>
    </fill>
    <fill>
      <patternFill patternType="solid">
        <fgColor rgb="FF1F4E5F"/>
        <bgColor rgb="FF333333"/>
      </patternFill>
    </fill>
    <fill>
      <patternFill patternType="solid">
        <fgColor rgb="FFFFF2CC"/>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xf numFmtId="44" fontId="9" fillId="0" borderId="0"/>
    <xf numFmtId="9" fontId="9" fillId="0" borderId="0"/>
    <xf numFmtId="41" fontId="9" fillId="0" borderId="0"/>
    <xf numFmtId="42" fontId="9" fillId="0" borderId="0"/>
    <xf numFmtId="0" fontId="10" fillId="0" borderId="0" applyAlignment="1">
      <alignment vertical="center"/>
    </xf>
    <xf numFmtId="0" fontId="11" fillId="0" borderId="0" applyAlignment="1">
      <alignment vertical="center"/>
    </xf>
    <xf numFmtId="0" fontId="12" fillId="4"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5" borderId="5" applyAlignment="1">
      <alignment vertical="center"/>
    </xf>
    <xf numFmtId="0" fontId="20" fillId="6" borderId="6" applyAlignment="1">
      <alignment vertical="center"/>
    </xf>
    <xf numFmtId="0" fontId="21" fillId="6" borderId="5" applyAlignment="1">
      <alignment vertical="center"/>
    </xf>
    <xf numFmtId="0" fontId="22" fillId="7" borderId="7" applyAlignment="1">
      <alignment vertical="center"/>
    </xf>
    <xf numFmtId="0" fontId="23" fillId="0" borderId="8" applyAlignment="1">
      <alignment vertical="center"/>
    </xf>
    <xf numFmtId="0" fontId="24" fillId="0" borderId="9"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9" fillId="12" borderId="0" applyAlignment="1">
      <alignment vertical="center"/>
    </xf>
    <xf numFmtId="0" fontId="29" fillId="13" borderId="0" applyAlignment="1">
      <alignment vertical="center"/>
    </xf>
    <xf numFmtId="0" fontId="28" fillId="14" borderId="0" applyAlignment="1">
      <alignment vertical="center"/>
    </xf>
    <xf numFmtId="0" fontId="28" fillId="15" borderId="0" applyAlignment="1">
      <alignment vertical="center"/>
    </xf>
    <xf numFmtId="0" fontId="29" fillId="16" borderId="0" applyAlignment="1">
      <alignment vertical="center"/>
    </xf>
    <xf numFmtId="0" fontId="29" fillId="17" borderId="0" applyAlignment="1">
      <alignment vertical="center"/>
    </xf>
    <xf numFmtId="0" fontId="28" fillId="18" borderId="0" applyAlignment="1">
      <alignment vertical="center"/>
    </xf>
    <xf numFmtId="0" fontId="28" fillId="19" borderId="0" applyAlignment="1">
      <alignment vertical="center"/>
    </xf>
    <xf numFmtId="0" fontId="29" fillId="20" borderId="0" applyAlignment="1">
      <alignment vertical="center"/>
    </xf>
    <xf numFmtId="0" fontId="29" fillId="21" borderId="0" applyAlignment="1">
      <alignment vertical="center"/>
    </xf>
    <xf numFmtId="0" fontId="28" fillId="22" borderId="0" applyAlignment="1">
      <alignment vertical="center"/>
    </xf>
    <xf numFmtId="0" fontId="28" fillId="23" borderId="0" applyAlignment="1">
      <alignment vertical="center"/>
    </xf>
    <xf numFmtId="0" fontId="29" fillId="24" borderId="0" applyAlignment="1">
      <alignment vertical="center"/>
    </xf>
    <xf numFmtId="0" fontId="29" fillId="25" borderId="0" applyAlignment="1">
      <alignment vertical="center"/>
    </xf>
    <xf numFmtId="0" fontId="28" fillId="26" borderId="0" applyAlignment="1">
      <alignment vertical="center"/>
    </xf>
    <xf numFmtId="0" fontId="28" fillId="27" borderId="0" applyAlignment="1">
      <alignment vertical="center"/>
    </xf>
    <xf numFmtId="0" fontId="29" fillId="28" borderId="0" applyAlignment="1">
      <alignment vertical="center"/>
    </xf>
    <xf numFmtId="0" fontId="29" fillId="29" borderId="0" applyAlignment="1">
      <alignment vertical="center"/>
    </xf>
    <xf numFmtId="0" fontId="28" fillId="30" borderId="0" applyAlignment="1">
      <alignment vertical="center"/>
    </xf>
    <xf numFmtId="0" fontId="28" fillId="31" borderId="0" applyAlignment="1">
      <alignment vertical="center"/>
    </xf>
    <xf numFmtId="0" fontId="29" fillId="32" borderId="0" applyAlignment="1">
      <alignment vertical="center"/>
    </xf>
    <xf numFmtId="0" fontId="29" fillId="33" borderId="0" applyAlignment="1">
      <alignment vertical="center"/>
    </xf>
    <xf numFmtId="0" fontId="28" fillId="34" borderId="0" applyAlignment="1">
      <alignment vertical="center"/>
    </xf>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1" applyAlignment="1" pivotButton="0" quotePrefix="0" xfId="0">
      <alignment horizontal="center" vertical="center" wrapText="1"/>
    </xf>
    <xf numFmtId="0" fontId="5" fillId="0" borderId="1" pivotButton="0" quotePrefix="0" xfId="0"/>
    <xf numFmtId="3" fontId="6" fillId="0" borderId="1" pivotButton="0" quotePrefix="0" xfId="0"/>
    <xf numFmtId="164" fontId="5" fillId="0" borderId="1" pivotButton="0" quotePrefix="0" xfId="0"/>
    <xf numFmtId="2" fontId="5" fillId="0" borderId="1" pivotButton="0" quotePrefix="0" xfId="0"/>
    <xf numFmtId="4" fontId="6" fillId="0" borderId="1" pivotButton="0" quotePrefix="0" xfId="0"/>
    <xf numFmtId="0" fontId="6" fillId="0" borderId="1" pivotButton="0" quotePrefix="0" xfId="0"/>
    <xf numFmtId="0" fontId="5" fillId="0" borderId="1" applyAlignment="1" pivotButton="0" quotePrefix="0" xfId="0">
      <alignment vertical="top" wrapText="1"/>
    </xf>
    <xf numFmtId="0" fontId="2" fillId="0" borderId="1" pivotButton="0" quotePrefix="0" xfId="0"/>
    <xf numFmtId="4" fontId="7" fillId="0" borderId="1" pivotButton="0" quotePrefix="0" xfId="0"/>
    <xf numFmtId="3" fontId="7" fillId="0" borderId="1" pivotButton="0" quotePrefix="0" xfId="0"/>
    <xf numFmtId="3" fontId="5" fillId="0" borderId="1" pivotButton="0" quotePrefix="0" xfId="0"/>
    <xf numFmtId="2" fontId="6" fillId="0" borderId="1" pivotButton="0" quotePrefix="0" xfId="0"/>
    <xf numFmtId="0" fontId="3" fillId="0" borderId="1" pivotButton="0" quotePrefix="0" xfId="0"/>
    <xf numFmtId="2" fontId="3" fillId="0" borderId="1" pivotButton="0" quotePrefix="0" xfId="0"/>
    <xf numFmtId="164" fontId="3" fillId="0" borderId="1" pivotButton="0" quotePrefix="0" xfId="0"/>
    <xf numFmtId="165" fontId="7" fillId="0" borderId="1" pivotButton="0" quotePrefix="0" xfId="0"/>
    <xf numFmtId="165" fontId="6" fillId="0" borderId="1" pivotButton="0" quotePrefix="0" xfId="0"/>
    <xf numFmtId="0" fontId="3" fillId="0" borderId="0" pivotButton="0" quotePrefix="0" xfId="0"/>
    <xf numFmtId="4" fontId="5" fillId="0" borderId="1" pivotButton="0" quotePrefix="0" xfId="0"/>
    <xf numFmtId="166" fontId="5" fillId="0" borderId="1" pivotButton="0" quotePrefix="0" xfId="0"/>
    <xf numFmtId="1" fontId="6" fillId="0" borderId="1" pivotButton="0" quotePrefix="0" xfId="0"/>
    <xf numFmtId="167" fontId="5" fillId="0" borderId="1" pivotButton="0" quotePrefix="0" xfId="0"/>
    <xf numFmtId="166" fontId="6" fillId="0" borderId="1" pivotButton="0" quotePrefix="0" xfId="0"/>
    <xf numFmtId="3" fontId="3" fillId="0" borderId="1" pivotButton="0" quotePrefix="0" xfId="0"/>
    <xf numFmtId="165" fontId="5" fillId="0" borderId="1" pivotButton="0" quotePrefix="0" xfId="0"/>
    <xf numFmtId="165" fontId="3" fillId="0" borderId="1" pivotButton="0" quotePrefix="0" xfId="0"/>
    <xf numFmtId="3" fontId="2" fillId="0" borderId="1" pivotButton="0" quotePrefix="0" xfId="0"/>
    <xf numFmtId="0" fontId="8" fillId="2" borderId="1" applyAlignment="1" pivotButton="0" quotePrefix="0" xfId="0">
      <alignment horizontal="center" vertical="center" wrapText="1"/>
    </xf>
    <xf numFmtId="3" fontId="7" fillId="3" borderId="1" pivotButton="0" quotePrefix="0" xfId="0"/>
    <xf numFmtId="10" fontId="5" fillId="0" borderId="1" pivotButton="0" quotePrefix="0" xfId="0"/>
    <xf numFmtId="10" fontId="3" fillId="0" borderId="1" pivotButton="0" quotePrefix="0" xfId="0"/>
    <xf numFmtId="164" fontId="6" fillId="0" borderId="1" pivotButton="0" quotePrefix="0" xfId="0"/>
    <xf numFmtId="168" fontId="5" fillId="0" borderId="1" pivotButton="0" quotePrefix="0" xfId="0"/>
    <xf numFmtId="0" fontId="2" fillId="0" borderId="1" applyAlignment="1" pivotButton="0" quotePrefix="0" xfId="0">
      <alignment vertical="top" wrapText="1"/>
    </xf>
    <xf numFmtId="0" fontId="7" fillId="0" borderId="1" applyAlignment="1" pivotButton="0" quotePrefix="0" xfId="0">
      <alignment vertical="top" wrapText="1"/>
    </xf>
    <xf numFmtId="166" fontId="7" fillId="0" borderId="1" pivotButton="0" quotePrefix="0" xfId="0"/>
    <xf numFmtId="166" fontId="3" fillId="0" borderId="1" pivotButton="0" quotePrefix="0" xfId="0"/>
    <xf numFmtId="4" fontId="3" fillId="0" borderId="1" pivotButton="0" quotePrefix="0" xfId="0"/>
    <xf numFmtId="0" fontId="7" fillId="0" borderId="1" pivotButton="0" quotePrefix="0" xfId="0"/>
    <xf numFmtId="2" fontId="7" fillId="0" borderId="1" pivotButton="0" quotePrefix="0" xfId="0"/>
    <xf numFmtId="169" fontId="5" fillId="0" borderId="1" pivotButton="0" quotePrefix="0" xfId="0"/>
    <xf numFmtId="0" fontId="7" fillId="0" borderId="1" pivotButton="0" quotePrefix="0" xfId="0"/>
    <xf numFmtId="164" fontId="7" fillId="0" borderId="1" pivotButton="0" quotePrefix="0" xfId="0"/>
    <xf numFmtId="1" fontId="5" fillId="0" borderId="1" pivotButton="0" quotePrefix="0" xfId="0"/>
    <xf numFmtId="0" fontId="3" fillId="0" borderId="1" applyAlignment="1" pivotButton="0" quotePrefix="0" xfId="0">
      <alignment vertical="top" wrapText="1"/>
    </xf>
    <xf numFmtId="0" fontId="32" fillId="0" borderId="0" pivotButton="0" quotePrefix="0" xfId="0"/>
    <xf numFmtId="0" fontId="0" fillId="0" borderId="0" applyAlignment="1" pivotButton="0" quotePrefix="0" xfId="0">
      <alignment vertical="top" wrapText="1"/>
    </xf>
    <xf numFmtId="164" fontId="7" fillId="0" borderId="1" pivotButton="0" quotePrefix="0" xfId="0"/>
    <xf numFmtId="169" fontId="5" fillId="0" borderId="1" pivotButton="0" quotePrefix="0" xfId="0"/>
    <xf numFmtId="166" fontId="7" fillId="0" borderId="1" pivotButton="0" quotePrefix="0" xfId="0"/>
    <xf numFmtId="166" fontId="5" fillId="0" borderId="1" pivotButton="0" quotePrefix="0" xfId="0"/>
    <xf numFmtId="166" fontId="3" fillId="0" borderId="1" pivotButton="0" quotePrefix="0" xfId="0"/>
    <xf numFmtId="167" fontId="5" fillId="0" borderId="1" pivotButton="0" quotePrefix="0" xfId="0"/>
    <xf numFmtId="164" fontId="6" fillId="0" borderId="1" pivotButton="0" quotePrefix="0" xfId="0"/>
    <xf numFmtId="168" fontId="5" fillId="0" borderId="1" pivotButton="0" quotePrefix="0" xfId="0"/>
    <xf numFmtId="164" fontId="5" fillId="0" borderId="1" pivotButton="0" quotePrefix="0" xfId="0"/>
    <xf numFmtId="165" fontId="5" fillId="0" borderId="1" pivotButton="0" quotePrefix="0" xfId="0"/>
    <xf numFmtId="165" fontId="3" fillId="0" borderId="1" pivotButton="0" quotePrefix="0" xfId="0"/>
    <xf numFmtId="164" fontId="3" fillId="0" borderId="1" pivotButton="0" quotePrefix="0" xfId="0"/>
    <xf numFmtId="165" fontId="7" fillId="0" borderId="1" pivotButton="0" quotePrefix="0" xfId="0"/>
    <xf numFmtId="165" fontId="6" fillId="0" borderId="1" pivotButton="0" quotePrefix="0" xfId="0"/>
    <xf numFmtId="166" fontId="6" fillId="0" borderId="1" pivotButton="0" quotePrefix="0" xfId="0"/>
    <xf numFmtId="0" fontId="31" fillId="35" borderId="0" applyAlignment="1" pivotButton="0" quotePrefix="0" xfId="0">
      <alignment vertical="center" wrapText="1"/>
    </xf>
    <xf numFmtId="4" fontId="0" fillId="0" borderId="0" pivotButton="0" quotePrefix="0" xfId="0"/>
    <xf numFmtId="169" fontId="0" fillId="0" borderId="0" pivotButton="0" quotePrefix="0" xfId="0"/>
    <xf numFmtId="166" fontId="0" fillId="0" borderId="0" pivotButton="0" quotePrefix="0" xfId="0"/>
    <xf numFmtId="0" fontId="30" fillId="0" borderId="0" pivotButton="0" quotePrefix="0" xfId="0"/>
    <xf numFmtId="0" fontId="0" fillId="0" borderId="0" applyAlignment="1" pivotButton="0" quotePrefix="0" xfId="0">
      <alignment wrapText="1"/>
    </xf>
    <xf numFmtId="0" fontId="33"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DCE6F1"/>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95959"/>
      <rgbColor rgb="00969696"/>
      <rgbColor rgb="001F4E5F"/>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_rels/drawing2.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5334000" cy="2667000"/>
    <pic>
      <nvPicPr>
        <cNvPr id="1" name="Image 1" descr="Picture"/>
        <cNvPicPr/>
      </nvPicPr>
      <blipFill>
        <a:blip cstate="print" r:embed="rId1"/>
        <a:stretch>
          <a:fillRect/>
        </a:stretch>
      </blipFill>
      <spPr>
        <a:prstGeom prst="rect"/>
        <a:ln>
          <a:prstDash val="solid"/>
        </a:ln>
      </spPr>
    </pic>
    <clientData/>
  </oneCellAnchor>
  <oneCellAnchor>
    <from>
      <col>9</col>
      <colOff>0</colOff>
      <row>3</row>
      <rowOff>0</rowOff>
    </from>
    <ext cx="5334000" cy="2667000"/>
    <pic>
      <nvPicPr>
        <cNvPr id="2" name="Image 2" descr="Picture"/>
        <cNvPicPr/>
      </nvPicPr>
      <blipFill>
        <a:blip cstate="print" r:embed="rId2"/>
        <a:stretch>
          <a:fillRect/>
        </a:stretch>
      </blipFill>
      <spPr>
        <a:prstGeom prst="rect"/>
        <a:ln>
          <a:prstDash val="solid"/>
        </a:ln>
      </spPr>
    </pic>
    <clientData/>
  </oneCellAnchor>
  <oneCellAnchor>
    <from>
      <col>0</col>
      <colOff>0</colOff>
      <row>22</row>
      <rowOff>0</rowOff>
    </from>
    <ext cx="5334000" cy="2667000"/>
    <pic>
      <nvPicPr>
        <cNvPr id="3" name="Image 3" descr="Picture"/>
        <cNvPicPr/>
      </nvPicPr>
      <blipFill>
        <a:blip cstate="print" r:embed="rId3"/>
        <a:stretch>
          <a:fillRect/>
        </a:stretch>
      </blipFill>
      <spPr>
        <a:prstGeom prst="rect"/>
        <a:ln>
          <a:prstDash val="solid"/>
        </a:ln>
      </spPr>
    </pic>
    <clientData/>
  </oneCellAnchor>
  <oneCellAnchor>
    <from>
      <col>9</col>
      <colOff>0</colOff>
      <row>22</row>
      <rowOff>0</rowOff>
    </from>
    <ext cx="5334000" cy="2667000"/>
    <pic>
      <nvPicPr>
        <cNvPr id="4" name="Image 4" descr="Picture"/>
        <cNvPicPr/>
      </nvPicPr>
      <blipFill>
        <a:blip cstate="print" r:embed="rId4"/>
        <a:stretch>
          <a:fillRect/>
        </a:stretch>
      </blipFill>
      <spPr>
        <a:prstGeom prst="rect"/>
        <a:ln>
          <a:prstDash val="solid"/>
        </a:ln>
      </spPr>
    </pic>
    <clientData/>
  </oneCellAnchor>
  <oneCellAnchor>
    <from>
      <col>0</col>
      <colOff>0</colOff>
      <row>41</row>
      <rowOff>0</rowOff>
    </from>
    <ext cx="5334000" cy="2667000"/>
    <pic>
      <nvPicPr>
        <cNvPr id="5" name="Image 5" descr="Picture"/>
        <cNvPicPr/>
      </nvPicPr>
      <blipFill>
        <a:blip cstate="print" r:embed="rId5"/>
        <a:stretch>
          <a:fillRect/>
        </a:stretch>
      </blipFill>
      <spPr>
        <a:prstGeom prst="rect"/>
        <a:ln>
          <a:prstDash val="solid"/>
        </a:ln>
      </spPr>
    </pic>
    <clientData/>
  </oneCellAnchor>
  <oneCellAnchor>
    <from>
      <col>9</col>
      <colOff>0</colOff>
      <row>41</row>
      <rowOff>0</rowOff>
    </from>
    <ext cx="5334000" cy="2667000"/>
    <pic>
      <nvPicPr>
        <cNvPr id="6" name="Image 6" descr="Picture"/>
        <cNvPicPr/>
      </nvPicPr>
      <blipFill>
        <a:blip cstate="print" r:embed="rId6"/>
        <a:stretch>
          <a:fillRect/>
        </a:stretch>
      </blipFill>
      <spPr>
        <a:prstGeom prst="rect"/>
        <a:ln>
          <a:prstDash val="solid"/>
        </a:ln>
      </spPr>
    </pic>
    <clientData/>
  </oneCellAnchor>
  <oneCellAnchor>
    <from>
      <col>0</col>
      <colOff>0</colOff>
      <row>60</row>
      <rowOff>0</rowOff>
    </from>
    <ext cx="5334000" cy="2667000"/>
    <pic>
      <nvPicPr>
        <cNvPr id="7" name="Image 7" descr="Picture"/>
        <cNvPicPr/>
      </nvPicPr>
      <blipFill>
        <a:blip cstate="print" r:embed="rId7"/>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58125" cy="4429125"/>
    <pic>
      <nvPicPr>
        <cNvPr id="1" name="Image 1" descr="Picture"/>
        <cNvPicPr/>
      </nvPicPr>
      <blipFill>
        <a:blip cstate="print" r:embed="rId1"/>
        <a:stretch>
          <a:fillRect/>
        </a:stretch>
      </blipFill>
      <spPr>
        <a:prstGeom prst="rect"/>
        <a:ln>
          <a:prstDash val="solid"/>
        </a:ln>
      </spPr>
    </pic>
    <clientData/>
  </oneCellAnchor>
</wsDr>
</file>

<file path=xl/tables/table1.xml><?xml version="1.0" encoding="utf-8"?>
<table xmlns="http://schemas.openxmlformats.org/spreadsheetml/2006/main" id="1" name="HistoricalIQRDetail" displayName="HistoricalIQRDetail" ref="A1:I169" headerRowCount="1">
  <autoFilter ref="A1:I169"/>
  <tableColumns count="9">
    <tableColumn id="1" name="Municipality"/>
    <tableColumn id="2" name="Year"/>
    <tableColumn id="3" name="Month"/>
    <tableColumn id="4" name="Original estimate (kg)"/>
    <tableColumn id="5" name="IQR multiplier"/>
    <tableColumn id="6" name="Adjusted estimate (kg)"/>
    <tableColumn id="7" name="Annual total preserved (kg)"/>
    <tableColumn id="8" name="Change (%)"/>
    <tableColumn id="9" name="Status"/>
  </tableColumns>
  <tableStyleInfo name="TableStyleMedium2" showRowStripes="1" showColumnStripes="0"/>
</table>
</file>

<file path=xl/tables/table2.xml><?xml version="1.0" encoding="utf-8"?>
<table xmlns="http://schemas.openxmlformats.org/spreadsheetml/2006/main" id="2" name="HistoricalIQRSummary" displayName="HistoricalIQRSummary" ref="A1:H15" headerRowCount="1">
  <autoFilter ref="A1:H15"/>
  <tableColumns count="8">
    <tableColumn id="1" name="Municipality"/>
    <tableColumn id="2" name="Year"/>
    <tableColumn id="3" name="Original annual total (kg)"/>
    <tableColumn id="4" name="Adjusted annual total (kg)"/>
    <tableColumn id="5" name="Original monthly-share CV"/>
    <tableColumn id="6" name="Adjusted monthly-share CV"/>
    <tableColumn id="7" name="CV change (%)"/>
    <tableColumn id="8" name="Treatment"/>
  </tableColumns>
  <tableStyleInfo name="TableStyleMedium2" showRowStripes="1" showColumnStripes="0"/>
</table>
</file>

<file path=xl/tables/table3.xml><?xml version="1.0" encoding="utf-8"?>
<table xmlns="http://schemas.openxmlformats.org/spreadsheetml/2006/main" id="3" name="Synthesis2026Monthly" displayName="Synthesis2026Monthly" ref="A1:G64" headerRowCount="1">
  <autoFilter ref="A1:G64"/>
  <tableColumns count="7">
    <tableColumn id="1" name="Municipality"/>
    <tableColumn id="2" name="Year"/>
    <tableColumn id="3" name="Month"/>
    <tableColumn id="4" name="Month number"/>
    <tableColumn id="5" name="Monthly production (kg)"/>
    <tableColumn id="6" name="2026 annual target (kg)"/>
    <tableColumn id="7" name="Reference/method"/>
  </tableColumns>
  <tableStyleInfo name="TableStyleMedium2" showRowStripes="1" showColumnStripes="0"/>
</table>
</file>

<file path=xl/tables/table4.xml><?xml version="1.0" encoding="utf-8"?>
<table xmlns="http://schemas.openxmlformats.org/spreadsheetml/2006/main" id="4" name="Production2026Annual" displayName="Production2026Annual" ref="A1:D8" headerRowCount="1">
  <autoFilter ref="A1:D8"/>
  <tableColumns count="4">
    <tableColumn id="1" name="Municipality"/>
    <tableColumn id="2" name="2026 annual production (kg)"/>
    <tableColumn id="3" name="2026 annual target (kg)"/>
    <tableColumn id="4" name="Difference (kg)"/>
  </tableColumns>
  <tableStyleInfo name="TableStyleMedium2"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2.xml.rels><Relationships xmlns="http://schemas.openxmlformats.org/package/2006/relationships"><Relationship Type="http://schemas.openxmlformats.org/officeDocument/2006/relationships/table" Target="/xl/tables/table1.xml" Id="rId1" /></Relationships>
</file>

<file path=xl/worksheets/_rels/sheet13.xml.rels><Relationships xmlns="http://schemas.openxmlformats.org/package/2006/relationships"><Relationship Type="http://schemas.openxmlformats.org/officeDocument/2006/relationships/table" Target="/xl/tables/table2.xml" Id="rId1" /></Relationships>
</file>

<file path=xl/worksheets/_rels/sheet15.xml.rels><Relationships xmlns="http://schemas.openxmlformats.org/package/2006/relationships"><Relationship Type="http://schemas.openxmlformats.org/officeDocument/2006/relationships/drawing" Target="/xl/drawings/drawing1.xml" Id="rId1" /></Relationships>
</file>

<file path=xl/worksheets/_rels/sheet16.xml.rels><Relationships xmlns="http://schemas.openxmlformats.org/package/2006/relationships"><Relationship Type="http://schemas.openxmlformats.org/officeDocument/2006/relationships/table" Target="/xl/tables/table3.xml" Id="rId1" /></Relationships>
</file>

<file path=xl/worksheets/_rels/sheet17.xml.rels><Relationships xmlns="http://schemas.openxmlformats.org/package/2006/relationships"><Relationship Type="http://schemas.openxmlformats.org/officeDocument/2006/relationships/table" Target="/xl/tables/table4.xml" Id="rId1" /></Relationships>
</file>

<file path=xl/worksheets/_rels/sheet1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ColWidth="8.675925925925929" defaultRowHeight="14.4"/>
  <cols>
    <col width="24" customWidth="1" min="1" max="1"/>
    <col width="120" customWidth="1" min="2" max="2"/>
  </cols>
  <sheetData>
    <row r="1" ht="17.4" customHeight="1">
      <c r="A1" s="1" t="inlineStr">
        <is>
          <t>PangAsin – Estimated Municipal Salt Production and Salt-Bed Counts</t>
        </is>
      </c>
    </row>
    <row r="2">
      <c r="A2" s="2" t="inlineStr">
        <is>
          <t>Educated-estimate (synthetic) dataset for the seven salt-producing municipalities of Pangasinan. Companion to the Word documentation.</t>
        </is>
      </c>
    </row>
    <row r="4" ht="61.5" customHeight="1">
      <c r="A4" s="50" t="inlineStr">
        <is>
          <t>Purpose</t>
        </is>
      </c>
      <c r="B4" s="12" t="inlineStr">
        <is>
          <t>Monthly salt production (kg) per municipality for 2024 and 2025, and estimated number of salt beds per municipality, derived from the San Fabian primary record and BFAR RFO1 FOI data (Bani uses FOI by default; its master-sheet reports are a selectable alternative).</t>
        </is>
      </c>
    </row>
    <row r="5" ht="61.5" customHeight="1">
      <c r="A5" s="50" t="inlineStr">
        <is>
          <t>How the numbers are built</t>
        </is>
      </c>
      <c r="B5" s="12" t="inlineStr">
        <is>
          <t>1) Annual production = primary value if one exists, otherwise FOI value (Annual_Production).  2) Salt beds = annual production ÷ x, where x = kg of salt per bed per year calibrated on Alaminos City 2025 (Alaminos_Beds, Salt_Beds).  3) Monthly production = annual production × monthly share (Seasonal_Profile, Shares, Monthly_Estimates).</t>
        </is>
      </c>
    </row>
    <row r="6" ht="61.5" customHeight="1">
      <c r="A6" s="50" t="inlineStr">
        <is>
          <t>Colour code</t>
        </is>
      </c>
      <c r="B6" s="12" t="inlineStr">
        <is>
          <t>Blue text = hard-coded input from a source file.  Black = formula.  Green = direct link to another sheet.  Yellow fill = selector you can change (Assumptions!B4, B5).</t>
        </is>
      </c>
    </row>
    <row r="7" ht="61.5" customHeight="1">
      <c r="A7" s="50" t="inlineStr">
        <is>
          <t>Real monthly data</t>
        </is>
      </c>
      <c r="B7" s="12" t="inlineStr">
        <is>
          <t xml:space="preserve">If you have observed monthly production for any municipality-year, type it into Monthly_Override (kg). It replaces the estimate for that row. Assumptions!B10 changes how Bani and San Fabian are spread inside their season (1 = equal months, 2 = observed profile).  </t>
        </is>
      </c>
    </row>
    <row r="8" ht="61.5" customHeight="1">
      <c r="A8" s="50" t="inlineStr">
        <is>
          <t>Alaminos and San Fabian sources</t>
        </is>
      </c>
      <c r="B8" s="12" t="inlineStr">
        <is>
          <t>Assumptions!B23: Alaminos annual production = master col. U (read as kg per month) × 6 months (2, default) or FOI (1). The master sheet leaves Alaminos annual production empty; Alaminos_Beds column J fills it per farm. Assumptions!B24: San Fabian hybrid series – primary where it exists, FOI fills missing years. San Fabian 2023–2026 is in Annual_Production rows 35–42 and Monthly_Estimates rows 30–35; every month has a value (equation 5a), and the recorded Nov–May season is a switch (Assumptions!C19).</t>
        </is>
      </c>
    </row>
    <row r="9" ht="61.5" customHeight="1">
      <c r="A9" s="50" t="inlineStr">
        <is>
          <t>KEY WARNING 4</t>
        </is>
      </c>
      <c r="B9" s="12" t="inlineStr">
        <is>
          <t>Master-sheet column U is labelled 'per day' but is used as kg per month: that reading matches FOI within 2.8% (Testing T10), while column V (U × 30) is 31× FOI. Confirm the unit with the source. Alaminos primary values carry no year, so they are applied to 2025 only.</t>
        </is>
      </c>
    </row>
    <row r="10" ht="61.5" customHeight="1">
      <c r="A10" s="50" t="inlineStr">
        <is>
          <t>Selectors (Assumptions)</t>
        </is>
      </c>
      <c r="B10" s="12" t="inlineStr">
        <is>
          <t>B11 chooses Bani's annual source (1 = FOI, default; 2 = primary master sheet).  B4 chooses the bed-yield basis (1 = Alaminos 2025, 2 = mean of 2025 and 2026, 3 = legacy 310.61 from the handwritten card).  B5 chooses the monthly method (1 = same-year observed provincial profile + primary season windows, 2 = pooled 2024–25 profile + windows, 3 = linear arithmetic with M1 = 8%).  Column B of the municipality table is an optional coverage multiplier (default 1.00).</t>
        </is>
      </c>
    </row>
    <row r="11" ht="61.5" customHeight="1">
      <c r="A11" s="50" t="inlineStr">
        <is>
          <t>KEY WARNING 1</t>
        </is>
      </c>
      <c r="B11" s="12" t="inlineStr">
        <is>
          <t>The handwritten calibration divides by 3,444 salt beds. That count equals only the first 21 Alaminos rows of the master sheet (cumulative total, Alaminos_Beds). The full sheet has 7,410 beds, so x = 144.36 kg/bed/yr, not 310.61. The workbook defaults to the full sheet; set Assumptions!B4 = 3 to reproduce the handwritten basis.</t>
        </is>
      </c>
    </row>
    <row r="12" ht="61.5" customHeight="1">
      <c r="A12" s="50" t="inlineStr">
        <is>
          <t>KEY WARNING 2</t>
        </is>
      </c>
      <c r="B12" s="12" t="inlineStr">
        <is>
          <t>FOI figures are lower bounds. Where primary data exist, FOI covers 7% (Bani) to 93% (San Fabian) of them, and the FOI provincial 2025 total is about 15% of the 2021 OPAg total (Testing, T9). Use the coverage multiplier if better municipal totals become available.</t>
        </is>
      </c>
    </row>
    <row r="13" ht="61.5" customHeight="1">
      <c r="A13" s="50" t="inlineStr">
        <is>
          <t>KEY WARNING 3</t>
        </is>
      </c>
      <c r="B13" s="12" t="inlineStr">
        <is>
          <t>These are deterministic disaggregations of annual totals. Monthly values contain no information beyond the annual total and the seasonal profile, so they illustrate and test the PangAsin pipeline but are not observed data. Do not report them as measurements.</t>
        </is>
      </c>
    </row>
    <row r="14" ht="61.5" customHeight="1">
      <c r="A14" s="50" t="inlineStr">
        <is>
          <t>Sheets</t>
        </is>
      </c>
      <c r="B14" s="12" t="inlineStr">
        <is>
          <t>Assumptions · Monthly_Override · Annual_Production · Alaminos_Beds · Salt_Beds · Seasonal_Profile · Shares · Monthly_Estimates · Monthly_Long (database-ready) · Testing (T1–T10, live formulas).</t>
        </is>
      </c>
    </row>
    <row r="15" ht="61.5" customHeight="1">
      <c r="A15" s="50" t="inlineStr">
        <is>
          <t>Sources</t>
        </is>
      </c>
      <c r="B15" s="12" t="inlineStr">
        <is>
          <t>Primary: salt_MasterSheet1 (Bani, Alaminos City); San Fabian email screenshots; handwritten calculation cards.  Secondary: BFAR RFO1 FOI files RS3969 and RS4760.  External benchmark (Testing T3, T9): Pangasinan Provincial Government / OPAg 2021 figures, https://www.pangasinan.gov.ph/?p=108708</t>
        </is>
      </c>
    </row>
    <row r="16" ht="48" customHeight="1">
      <c r="A16" s="51" t="inlineStr">
        <is>
          <t>IQR historical adjustment</t>
        </is>
      </c>
      <c r="B16" s="52" t="inlineStr">
        <is>
          <t>In this _IQR copy only, Monthly_Override contains stochastic IQR-adjusted monthly allocations for non-Alaminos municipalities in 2024-2025. Annual totals are unchanged; Alaminos City is unchanged. See IQR_2024_25_Method, Detail, Summary, and Charts. No 2026 predictions are included.</t>
        </is>
      </c>
    </row>
    <row r="17" ht="46" customHeight="1">
      <c r="A17" s="51" t="inlineStr">
        <is>
          <t>Stronger IQR historical monthly adjustment</t>
        </is>
      </c>
      <c r="B17" s="52" t="inlineStr">
        <is>
          <t>Non-Alaminos 2024-2025 monthly allocations use 3x stochastic IQR noise calibrated from Alaminos City. Annual totals are unchanged; Alaminos is unchanged. See IQR_2024_25_Method, Detail, Summary, and Charts. This is not a forecast.</t>
        </is>
      </c>
    </row>
    <row r="18" ht="50" customHeight="1">
      <c r="A18" s="51" t="inlineStr">
        <is>
          <t>2026 San Fabian-reference synthesis</t>
        </is>
      </c>
      <c r="B18" s="52" t="inlineStr">
        <is>
          <t>This updated _IQR_2026 copy adds synthetic Jan-Sep 2026 monthly values for all seven municipalities using the San Fabian 2026 estimated profile plus stochastic IQR variation. Each municipality total reconciles to the supplied Jan-Sep 2026 production amount; Oct-Dec are not included. See the 2026_ tabs.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26"/>
  <sheetViews>
    <sheetView showGridLines="0" workbookViewId="0">
      <selection activeCell="H9" sqref="H9"/>
    </sheetView>
  </sheetViews>
  <sheetFormatPr baseColWidth="8" defaultColWidth="8.675925925925929" defaultRowHeight="14.4"/>
  <cols>
    <col width="58" customWidth="1" min="1" max="1"/>
    <col width="14" customWidth="1" min="2" max="2"/>
    <col width="44" customWidth="1" min="3" max="3"/>
    <col width="6" customWidth="1" min="4" max="15"/>
    <col width="62" customWidth="1" min="16" max="16"/>
  </cols>
  <sheetData>
    <row r="1" ht="17.4" customHeight="1">
      <c r="A1" s="1" t="inlineStr">
        <is>
          <t>Assumptions and selectors</t>
        </is>
      </c>
    </row>
    <row r="2">
      <c r="A2" s="2" t="inlineStr">
        <is>
          <t>Yellow cells are selectors. Everything downstream recalculates.</t>
        </is>
      </c>
    </row>
    <row r="3" ht="42" customHeight="1">
      <c r="A3" s="5" t="inlineStr">
        <is>
          <t>Parameter</t>
        </is>
      </c>
      <c r="B3" s="5" t="inlineStr">
        <is>
          <t>Value</t>
        </is>
      </c>
      <c r="C3" s="5" t="inlineStr">
        <is>
          <t>Notes</t>
        </is>
      </c>
    </row>
    <row r="4" ht="43.5" customHeight="1">
      <c r="A4" s="12" t="inlineStr">
        <is>
          <t>Bed-yield basis x (1 = Alaminos 2025 FOI · 2 = mean of 2025 &amp; 2026 FOI · 3 = legacy 310.61 · 4 = Alaminos primary col. U)</t>
        </is>
      </c>
      <c r="B4" s="47" t="n">
        <v>1</v>
      </c>
      <c r="C4" s="39" t="inlineStr">
        <is>
          <t>Default 1: complete-year FOI figure with a surveyed bed count. Option 4 calibrates on the primary master-sheet production instead (B26); the two agree within 3%.</t>
        </is>
      </c>
    </row>
    <row r="5" ht="43.5" customHeight="1">
      <c r="A5" s="12" t="inlineStr">
        <is>
          <t>Monthly method (1 = same-year observed profile + windows · 2 = pooled 2024–25 profile + windows · 3 = linear arithmetic)</t>
        </is>
      </c>
      <c r="B5" s="47" t="n">
        <v>1</v>
      </c>
      <c r="C5" s="39" t="inlineStr">
        <is>
          <t>Default 1. Method 3 reproduces the handwritten 'M1 = 8%, linear arithmetic' idea for comparison.</t>
        </is>
      </c>
    </row>
    <row r="6" ht="43.5" customHeight="1">
      <c r="A6" s="12" t="inlineStr">
        <is>
          <t>Linear arithmetic first-month share a1</t>
        </is>
      </c>
      <c r="B6" s="53" t="n">
        <v>0.08</v>
      </c>
      <c r="C6" s="39" t="inlineStr">
        <is>
          <t>From handwritten card: M1 = 8% of total yearly production.</t>
        </is>
      </c>
    </row>
    <row r="7" ht="43.5" customHeight="1">
      <c r="A7" s="12" t="inlineStr">
        <is>
          <t>Bed yield x used (kg / salt bed / year)</t>
        </is>
      </c>
      <c r="B7" s="10">
        <f>CHOOSE(B4,Alaminos_Beds!B9,AVERAGE(Alaminos_Beds!B9,Alaminos_Beds!B10),Alaminos_Beds!B12,B26)</f>
        <v/>
      </c>
      <c r="C7" s="39" t="inlineStr">
        <is>
          <t>Calculated with CHOOSE on the selector: Alaminos 2025, mean of 2025 and 2026, or legacy.</t>
        </is>
      </c>
    </row>
    <row r="8" ht="43.5" customHeight="1">
      <c r="A8" s="12" t="inlineStr">
        <is>
          <t>Average bed area, Alaminos survey (m²)</t>
        </is>
      </c>
      <c r="B8" s="10">
        <f>Alaminos_Beds!B6</f>
        <v/>
      </c>
      <c r="C8" s="39" t="inlineStr">
        <is>
          <t>Bed-count-weighted mean of the 38 Alaminos survey rows.</t>
        </is>
      </c>
    </row>
    <row r="9" ht="43.5" customHeight="1">
      <c r="A9" s="12" t="inlineStr">
        <is>
          <t>Legacy bed count used on handwritten card</t>
        </is>
      </c>
      <c r="B9" s="15" t="n">
        <v>3444</v>
      </c>
      <c r="C9" s="39" t="inlineStr">
        <is>
          <t>Handwritten x = 1,069,740 ÷ 3,444 = 310.61. Equals cumulative beds through row 21 of the Alaminos table, not the full sheet.</t>
        </is>
      </c>
    </row>
    <row r="10" ht="43.5" customHeight="1">
      <c r="A10" s="12" t="inlineStr">
        <is>
          <t>Shape inside a primary window (1 = flat · 2 = follow the observed profile)</t>
        </is>
      </c>
      <c r="B10" s="47" t="n">
        <v>1</v>
      </c>
      <c r="C10" s="39" t="inlineStr">
        <is>
          <t>Applies to Bani and San Fabian. 1 = equal months (default, no monthly evidence). 2 = months weighted by the observed provincial profile (puts ~86% of Bani output in April). Real monthly data in Monthly_Override replace both.</t>
        </is>
      </c>
    </row>
    <row r="11" ht="43.5" customHeight="1">
      <c r="A11" s="12" t="inlineStr">
        <is>
          <t>Bani annual source (1 = FOI, like the other municipalities · 2 = primary master sheet)</t>
        </is>
      </c>
      <c r="B11" s="47" t="n">
        <v>1</v>
      </c>
      <c r="C11" s="39" t="inlineStr">
        <is>
          <t>Default 1. Option 2 uses the master-sheet farm reports (9,445 MT in 2024, 8,160 MT in 2025) and applies Bani's recorded Jan–Apr production window.</t>
        </is>
      </c>
    </row>
    <row r="12" ht="42" customHeight="1">
      <c r="A12" s="5" t="inlineStr">
        <is>
          <t>Municipality</t>
        </is>
      </c>
      <c r="B12" s="5" t="inlineStr">
        <is>
          <t>Coverage multiplier c</t>
        </is>
      </c>
      <c r="C12" s="5" t="inlineStr">
        <is>
          <t>Use primary season window (1/0)</t>
        </is>
      </c>
      <c r="D12" s="5" t="inlineStr">
        <is>
          <t>Jan</t>
        </is>
      </c>
      <c r="E12" s="5" t="inlineStr">
        <is>
          <t>Feb</t>
        </is>
      </c>
      <c r="F12" s="5" t="inlineStr">
        <is>
          <t>Mar</t>
        </is>
      </c>
      <c r="G12" s="5" t="inlineStr">
        <is>
          <t>Apr</t>
        </is>
      </c>
      <c r="H12" s="5" t="inlineStr">
        <is>
          <t>May</t>
        </is>
      </c>
      <c r="I12" s="5" t="inlineStr">
        <is>
          <t>Jun</t>
        </is>
      </c>
      <c r="J12" s="5" t="inlineStr">
        <is>
          <t>Jul</t>
        </is>
      </c>
      <c r="K12" s="5" t="inlineStr">
        <is>
          <t>Aug</t>
        </is>
      </c>
      <c r="L12" s="5" t="inlineStr">
        <is>
          <t>Sep</t>
        </is>
      </c>
      <c r="M12" s="5" t="inlineStr">
        <is>
          <t>Oct</t>
        </is>
      </c>
      <c r="N12" s="5" t="inlineStr">
        <is>
          <t>Nov</t>
        </is>
      </c>
      <c r="O12" s="5" t="inlineStr">
        <is>
          <t>Dec</t>
        </is>
      </c>
      <c r="P12" s="5" t="inlineStr">
        <is>
          <t>Window source / note</t>
        </is>
      </c>
    </row>
    <row r="13" ht="39.6" customHeight="1">
      <c r="A13" s="18" t="inlineStr">
        <is>
          <t>Alaminos City</t>
        </is>
      </c>
      <c r="B13" s="45" t="n">
        <v>1</v>
      </c>
      <c r="C13" s="47" t="n">
        <v>0</v>
      </c>
      <c r="D13" s="47" t="n">
        <v>1</v>
      </c>
      <c r="E13" s="47" t="n">
        <v>1</v>
      </c>
      <c r="F13" s="47" t="n">
        <v>1</v>
      </c>
      <c r="G13" s="47" t="n">
        <v>1</v>
      </c>
      <c r="H13" s="47" t="n">
        <v>1</v>
      </c>
      <c r="I13" s="47" t="n">
        <v>0</v>
      </c>
      <c r="J13" s="47" t="n">
        <v>0</v>
      </c>
      <c r="K13" s="47" t="n">
        <v>0</v>
      </c>
      <c r="L13" s="47" t="n">
        <v>0</v>
      </c>
      <c r="M13" s="47" t="n">
        <v>0</v>
      </c>
      <c r="N13" s="47" t="n">
        <v>0</v>
      </c>
      <c r="O13" s="47" t="n">
        <v>1</v>
      </c>
      <c r="P13" s="39" t="inlineStr">
        <is>
          <t>Primary season Dec–May is stored in the flags. Default 0 = observed profile like the other municipalities; set C13 = 1 for flat monthly rates in Dec–May only.</t>
        </is>
      </c>
    </row>
    <row r="14">
      <c r="A14" s="18" t="inlineStr">
        <is>
          <t>Anda</t>
        </is>
      </c>
      <c r="B14" s="45" t="n">
        <v>1</v>
      </c>
      <c r="C14" s="47" t="n">
        <v>0</v>
      </c>
      <c r="D14" s="47" t="n">
        <v>1</v>
      </c>
      <c r="E14" s="47" t="n">
        <v>1</v>
      </c>
      <c r="F14" s="47" t="n">
        <v>1</v>
      </c>
      <c r="G14" s="47" t="n">
        <v>1</v>
      </c>
      <c r="H14" s="47" t="n">
        <v>1</v>
      </c>
      <c r="I14" s="47" t="n">
        <v>1</v>
      </c>
      <c r="J14" s="47" t="n">
        <v>1</v>
      </c>
      <c r="K14" s="47" t="n">
        <v>1</v>
      </c>
      <c r="L14" s="47" t="n">
        <v>1</v>
      </c>
      <c r="M14" s="47" t="n">
        <v>1</v>
      </c>
      <c r="N14" s="47" t="n">
        <v>1</v>
      </c>
      <c r="O14" s="47" t="n">
        <v>1</v>
      </c>
      <c r="P14" s="39" t="inlineStr">
        <is>
          <t>No primary season data – provincial profile applies.</t>
        </is>
      </c>
    </row>
    <row r="15">
      <c r="A15" s="18" t="inlineStr">
        <is>
          <t>Bani</t>
        </is>
      </c>
      <c r="B15" s="45" t="n">
        <v>1</v>
      </c>
      <c r="C15" s="6">
        <f>IF($B$11=2,1,0)</f>
        <v/>
      </c>
      <c r="D15" s="47" t="n">
        <v>1</v>
      </c>
      <c r="E15" s="47" t="n">
        <v>1</v>
      </c>
      <c r="F15" s="47" t="n">
        <v>1</v>
      </c>
      <c r="G15" s="47" t="n">
        <v>1</v>
      </c>
      <c r="H15" s="47" t="n">
        <v>0</v>
      </c>
      <c r="I15" s="47" t="n">
        <v>0</v>
      </c>
      <c r="J15" s="47" t="n">
        <v>0</v>
      </c>
      <c r="K15" s="47" t="n">
        <v>0</v>
      </c>
      <c r="L15" s="47" t="n">
        <v>0</v>
      </c>
      <c r="M15" s="47" t="n">
        <v>0</v>
      </c>
      <c r="N15" s="47" t="n">
        <v>0</v>
      </c>
      <c r="O15" s="47" t="n">
        <v>0</v>
      </c>
      <c r="P15" s="39" t="inlineStr">
        <is>
          <t>Master sheet: Nov–Dec pond preparation, Jan–Apr production period.</t>
        </is>
      </c>
    </row>
    <row r="16">
      <c r="A16" s="18" t="inlineStr">
        <is>
          <t>Bolinao</t>
        </is>
      </c>
      <c r="B16" s="45" t="n">
        <v>1</v>
      </c>
      <c r="C16" s="47" t="n">
        <v>0</v>
      </c>
      <c r="D16" s="47" t="n">
        <v>1</v>
      </c>
      <c r="E16" s="47" t="n">
        <v>1</v>
      </c>
      <c r="F16" s="47" t="n">
        <v>1</v>
      </c>
      <c r="G16" s="47" t="n">
        <v>1</v>
      </c>
      <c r="H16" s="47" t="n">
        <v>1</v>
      </c>
      <c r="I16" s="47" t="n">
        <v>1</v>
      </c>
      <c r="J16" s="47" t="n">
        <v>1</v>
      </c>
      <c r="K16" s="47" t="n">
        <v>1</v>
      </c>
      <c r="L16" s="47" t="n">
        <v>1</v>
      </c>
      <c r="M16" s="47" t="n">
        <v>1</v>
      </c>
      <c r="N16" s="47" t="n">
        <v>1</v>
      </c>
      <c r="O16" s="47" t="n">
        <v>1</v>
      </c>
      <c r="P16" s="39" t="inlineStr">
        <is>
          <t>No primary season data – provincial profile applies.</t>
        </is>
      </c>
    </row>
    <row r="17">
      <c r="A17" s="18" t="inlineStr">
        <is>
          <t>Dasol</t>
        </is>
      </c>
      <c r="B17" s="45" t="n">
        <v>1</v>
      </c>
      <c r="C17" s="47" t="n">
        <v>0</v>
      </c>
      <c r="D17" s="47" t="n">
        <v>1</v>
      </c>
      <c r="E17" s="47" t="n">
        <v>1</v>
      </c>
      <c r="F17" s="47" t="n">
        <v>1</v>
      </c>
      <c r="G17" s="47" t="n">
        <v>1</v>
      </c>
      <c r="H17" s="47" t="n">
        <v>1</v>
      </c>
      <c r="I17" s="47" t="n">
        <v>1</v>
      </c>
      <c r="J17" s="47" t="n">
        <v>1</v>
      </c>
      <c r="K17" s="47" t="n">
        <v>1</v>
      </c>
      <c r="L17" s="47" t="n">
        <v>1</v>
      </c>
      <c r="M17" s="47" t="n">
        <v>1</v>
      </c>
      <c r="N17" s="47" t="n">
        <v>1</v>
      </c>
      <c r="O17" s="47" t="n">
        <v>1</v>
      </c>
      <c r="P17" s="39" t="inlineStr">
        <is>
          <t>No primary season data – provincial profile applies.</t>
        </is>
      </c>
    </row>
    <row r="18">
      <c r="A18" s="18" t="inlineStr">
        <is>
          <t>Infanta</t>
        </is>
      </c>
      <c r="B18" s="45" t="n">
        <v>1</v>
      </c>
      <c r="C18" s="47" t="n">
        <v>0</v>
      </c>
      <c r="D18" s="47" t="n">
        <v>1</v>
      </c>
      <c r="E18" s="47" t="n">
        <v>1</v>
      </c>
      <c r="F18" s="47" t="n">
        <v>1</v>
      </c>
      <c r="G18" s="47" t="n">
        <v>1</v>
      </c>
      <c r="H18" s="47" t="n">
        <v>1</v>
      </c>
      <c r="I18" s="47" t="n">
        <v>1</v>
      </c>
      <c r="J18" s="47" t="n">
        <v>1</v>
      </c>
      <c r="K18" s="47" t="n">
        <v>1</v>
      </c>
      <c r="L18" s="47" t="n">
        <v>1</v>
      </c>
      <c r="M18" s="47" t="n">
        <v>1</v>
      </c>
      <c r="N18" s="47" t="n">
        <v>1</v>
      </c>
      <c r="O18" s="47" t="n">
        <v>1</v>
      </c>
      <c r="P18" s="39" t="inlineStr">
        <is>
          <t>No primary season data – provincial profile applies.</t>
        </is>
      </c>
    </row>
    <row r="19" ht="26.4" customHeight="1">
      <c r="A19" s="18" t="inlineStr">
        <is>
          <t>San Fabian</t>
        </is>
      </c>
      <c r="B19" s="45" t="n">
        <v>1</v>
      </c>
      <c r="C19" s="47" t="n">
        <v>0</v>
      </c>
      <c r="D19" s="47" t="n">
        <v>1</v>
      </c>
      <c r="E19" s="47" t="n">
        <v>1</v>
      </c>
      <c r="F19" s="47" t="n">
        <v>1</v>
      </c>
      <c r="G19" s="47" t="n">
        <v>1</v>
      </c>
      <c r="H19" s="47" t="n">
        <v>1</v>
      </c>
      <c r="I19" s="47" t="n">
        <v>0</v>
      </c>
      <c r="J19" s="47" t="n">
        <v>0</v>
      </c>
      <c r="K19" s="47" t="n">
        <v>0</v>
      </c>
      <c r="L19" s="47" t="n">
        <v>0</v>
      </c>
      <c r="M19" s="47" t="n">
        <v>0</v>
      </c>
      <c r="N19" s="47" t="n">
        <v>1</v>
      </c>
      <c r="O19" s="47" t="n">
        <v>1</v>
      </c>
      <c r="P19" s="39" t="inlineStr">
        <is>
          <t>Primary season Nov–May is stored in the flags. Default 0 = observed profile (no empty months); set C19 = 1 to confine output to Nov–May.</t>
        </is>
      </c>
    </row>
    <row r="21">
      <c r="A21" s="2" t="inlineStr">
        <is>
          <t>Coverage multiplier: leave at 1.00 unless a better municipal annual total becomes available (it multiplies the selected annual production). Flags are only used where 'Use primary season window' = 1.</t>
        </is>
      </c>
    </row>
    <row r="22">
      <c r="A22" s="23" t="inlineStr">
        <is>
          <t>Additional selectors</t>
        </is>
      </c>
    </row>
    <row r="23" ht="48" customHeight="1">
      <c r="A23" s="12" t="inlineStr">
        <is>
          <t>Alaminos annual source (1 = FOI · 2 = master col. U, read as kg per month, × season months)</t>
        </is>
      </c>
      <c r="B23" s="47" t="n">
        <v>2</v>
      </c>
      <c r="C23" s="39" t="inlineStr">
        <is>
          <t>Default 2 (primary): 183,210 kg a month × 6 months (Dec–May) = 1,099,260 kg, 2.8% above FOI. 2025 only. See Testing T10 for the unit reading.</t>
        </is>
      </c>
    </row>
    <row r="24" ht="48" customHeight="1">
      <c r="A24" s="12" t="inlineStr">
        <is>
          <t>San Fabian fill for years with no primary value (1 = FOI as reported · 2 = FOI × primary ÷ FOI ratio of overlapping years)</t>
        </is>
      </c>
      <c r="B24" s="47" t="n">
        <v>1</v>
      </c>
      <c r="C24" s="39" t="inlineStr">
        <is>
          <t>Hybrid series: primary where it exists, otherwise FOI (2026 primary is 'ongoing'). Option 2 scales FOI up by the 2024–25 overlap ratio.</t>
        </is>
      </c>
    </row>
    <row r="25" ht="48" customHeight="1">
      <c r="A25" s="12" t="inlineStr">
        <is>
          <t>Alaminos season months (Σ of its window flags, row 13)</t>
        </is>
      </c>
      <c r="B25" s="49">
        <f>SUM(D13:O13)</f>
        <v/>
      </c>
      <c r="C25" s="39" t="inlineStr">
        <is>
          <t>Dec–May = 6 months.</t>
        </is>
      </c>
    </row>
    <row r="26" ht="48" customHeight="1">
      <c r="A26" s="12" t="inlineStr">
        <is>
          <t>x from primary Alaminos production (col. U × season months ÷ beds)</t>
        </is>
      </c>
      <c r="B26" s="24">
        <f>Alaminos_Beds!B14*B25/Alaminos_Beds!B4</f>
        <v/>
      </c>
      <c r="C26" s="39" t="inlineStr">
        <is>
          <t>Used only when B4 = 4.</t>
        </is>
      </c>
    </row>
  </sheetData>
  <dataValidations count="3">
    <dataValidation sqref="B4" showDropDown="0" showInputMessage="0" showErrorMessage="0" allowBlank="0" type="list">
      <formula1>"1,2,3,4"</formula1>
    </dataValidation>
    <dataValidation sqref="B5" showDropDown="0" showInputMessage="0" showErrorMessage="0" allowBlank="0" type="list">
      <formula1>"1,2,3"</formula1>
    </dataValidation>
    <dataValidation sqref="B10 B11 B23 B24" showDropDown="0" showInputMessage="0" showErrorMessage="0" allowBlank="0" type="list">
      <formula1>"1,2"</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55"/>
  <sheetViews>
    <sheetView showGridLines="0" topLeftCell="A31" workbookViewId="0">
      <selection activeCell="A15" sqref="A15:K15"/>
    </sheetView>
  </sheetViews>
  <sheetFormatPr baseColWidth="8" defaultColWidth="8.675925925925929" defaultRowHeight="14.4"/>
  <cols>
    <col width="52" customWidth="1" min="1" max="1"/>
    <col width="16" customWidth="1" min="2" max="2"/>
    <col width="46" customWidth="1" min="3" max="3"/>
    <col width="11" customWidth="1" min="4" max="4"/>
    <col width="12" customWidth="1" min="5" max="5"/>
    <col width="13" customWidth="1" min="6" max="7"/>
    <col width="16" customWidth="1" min="8" max="8"/>
    <col width="22" customWidth="1" min="9" max="9"/>
    <col width="24" customWidth="1" min="10" max="10"/>
    <col width="16" customWidth="1" min="11" max="11"/>
  </cols>
  <sheetData>
    <row r="1" ht="17.4" customHeight="1">
      <c r="A1" s="1" t="inlineStr">
        <is>
          <t>Alaminos City salt-bed census and bed-yield calibration</t>
        </is>
      </c>
    </row>
    <row r="2">
      <c r="A2" s="2" t="inlineStr">
        <is>
          <t>Source: salt_MasterSheet1, rows 11–48 (primary data).</t>
        </is>
      </c>
    </row>
    <row r="4">
      <c r="A4" s="12" t="inlineStr">
        <is>
          <t>Σ salt beds, full master sheet</t>
        </is>
      </c>
      <c r="B4" s="16">
        <f>SUM(D16:D53)</f>
        <v/>
      </c>
    </row>
    <row r="5">
      <c r="A5" s="12" t="inlineStr">
        <is>
          <t>Σ bed area (ha)</t>
        </is>
      </c>
      <c r="B5" s="9">
        <f>SUM(G16:G53)</f>
        <v/>
      </c>
    </row>
    <row r="6">
      <c r="A6" s="12" t="inlineStr">
        <is>
          <t>Weighted average bed area (m²)</t>
        </is>
      </c>
      <c r="B6" s="9">
        <f>SUMPRODUCT(D16:D53,F16:F53)/B4</f>
        <v/>
      </c>
    </row>
    <row r="7">
      <c r="A7" s="12" t="inlineStr">
        <is>
          <t>FOI Alaminos City 2025 (kg)</t>
        </is>
      </c>
      <c r="B7" s="7">
        <f>Annual_Production!C4</f>
        <v/>
      </c>
    </row>
    <row r="8">
      <c r="A8" s="12" t="inlineStr">
        <is>
          <t>FOI Alaminos City 2026 (kg, provisional)</t>
        </is>
      </c>
      <c r="B8" s="7">
        <f>Annual_Production!D4</f>
        <v/>
      </c>
    </row>
    <row r="9">
      <c r="A9" s="12" t="inlineStr">
        <is>
          <t>x 2025 = FOI 2025 ÷ Σ beds (kg/bed/yr)</t>
        </is>
      </c>
      <c r="B9" s="24">
        <f>B7/B4</f>
        <v/>
      </c>
    </row>
    <row r="10">
      <c r="A10" s="12" t="inlineStr">
        <is>
          <t>x 2026 (provisional) = FOI 2026 ÷ Σ beds</t>
        </is>
      </c>
      <c r="B10" s="24">
        <f>B8/B4</f>
        <v/>
      </c>
    </row>
    <row r="11">
      <c r="A11" s="12" t="inlineStr">
        <is>
          <t>Legacy bed count (handwritten card)</t>
        </is>
      </c>
      <c r="B11" s="7">
        <f>Assumptions!B9</f>
        <v/>
      </c>
    </row>
    <row r="12">
      <c r="A12" s="12" t="inlineStr">
        <is>
          <t>x legacy = FOI 2025 ÷ legacy count</t>
        </is>
      </c>
      <c r="B12" s="24">
        <f>B7/B11</f>
        <v/>
      </c>
    </row>
    <row r="13">
      <c r="A13" s="12" t="inlineStr">
        <is>
          <t>Farm at which cumulative beds first equal the legacy count</t>
        </is>
      </c>
      <c r="B13" s="6">
        <f>IFERROR(INDEX(C16:C53,MATCH(B11,H16:H53,0)),"no exact match")</f>
        <v/>
      </c>
    </row>
    <row r="14">
      <c r="A14" s="12" t="inlineStr">
        <is>
          <t>Σ master col. U (kg; read as per month)</t>
        </is>
      </c>
      <c r="B14" s="16">
        <f>SUM(I16:I53)</f>
        <v/>
      </c>
    </row>
    <row r="15" ht="42" customHeight="1">
      <c r="A15" s="5" t="inlineStr">
        <is>
          <t>#</t>
        </is>
      </c>
      <c r="B15" s="5" t="inlineStr">
        <is>
          <t>Barangay</t>
        </is>
      </c>
      <c r="C15" s="5" t="inlineStr">
        <is>
          <t>Farm / operator</t>
        </is>
      </c>
      <c r="D15" s="5" t="inlineStr">
        <is>
          <t>Salt beds</t>
        </is>
      </c>
      <c r="E15" s="5" t="inlineStr">
        <is>
          <t>Bed size (ft)</t>
        </is>
      </c>
      <c r="F15" s="5" t="inlineStr">
        <is>
          <t>Bed area (m²)</t>
        </is>
      </c>
      <c r="G15" s="5" t="inlineStr">
        <is>
          <t>Bed area (ha)</t>
        </is>
      </c>
      <c r="H15" s="5" t="inlineStr">
        <is>
          <t>Cumulative beds</t>
        </is>
      </c>
      <c r="I15" s="5" t="inlineStr">
        <is>
          <t>Production per month, master col. U (kg)</t>
        </is>
      </c>
      <c r="J15" s="5" t="inlineStr">
        <is>
          <t>Annual 2025 = U × season months (kg)</t>
        </is>
      </c>
      <c r="K15" s="5" t="inlineStr">
        <is>
          <t>Annual 2025 (MT)</t>
        </is>
      </c>
    </row>
    <row r="16">
      <c r="A16" s="6" t="n">
        <v>1</v>
      </c>
      <c r="B16" s="47" t="inlineStr">
        <is>
          <t>Mona</t>
        </is>
      </c>
      <c r="C16" s="47" t="inlineStr">
        <is>
          <t>Aurelia Alejo</t>
        </is>
      </c>
      <c r="D16" s="15" t="n">
        <v>143</v>
      </c>
      <c r="E16" s="47" t="inlineStr">
        <is>
          <t>18 x 20</t>
        </is>
      </c>
      <c r="F16" s="45" t="n">
        <v>33.45</v>
      </c>
      <c r="G16" s="54">
        <f>D16*F16/10000</f>
        <v/>
      </c>
      <c r="H16" s="16">
        <f>SUM(D$16:D16)</f>
        <v/>
      </c>
      <c r="I16" s="15" t="n">
        <v>2860</v>
      </c>
      <c r="J16" s="16">
        <f>I16*Assumptions!$B$25</f>
        <v/>
      </c>
      <c r="K16" s="24">
        <f>J16/1000</f>
        <v/>
      </c>
    </row>
    <row r="17">
      <c r="A17" s="6" t="n">
        <v>2</v>
      </c>
      <c r="B17" s="47" t="inlineStr">
        <is>
          <t>Mona</t>
        </is>
      </c>
      <c r="C17" s="47" t="inlineStr">
        <is>
          <t>Jacqueline M. Capiral (Mariano S. Montemayor, Jr.)</t>
        </is>
      </c>
      <c r="D17" s="15" t="n">
        <v>250</v>
      </c>
      <c r="E17" s="47" t="inlineStr">
        <is>
          <t>18 x 20</t>
        </is>
      </c>
      <c r="F17" s="45" t="n">
        <v>33.45</v>
      </c>
      <c r="G17" s="54">
        <f>D17*F17/10000</f>
        <v/>
      </c>
      <c r="H17" s="16">
        <f>SUM(D$16:D17)</f>
        <v/>
      </c>
      <c r="I17" s="15" t="n">
        <v>6250</v>
      </c>
      <c r="J17" s="16">
        <f>I17*Assumptions!$B$25</f>
        <v/>
      </c>
      <c r="K17" s="24">
        <f>J17/1000</f>
        <v/>
      </c>
    </row>
    <row r="18">
      <c r="A18" s="6" t="n">
        <v>3</v>
      </c>
      <c r="B18" s="47" t="inlineStr">
        <is>
          <t>Mona</t>
        </is>
      </c>
      <c r="C18" s="47" t="inlineStr">
        <is>
          <t>Jerry R. De Vera</t>
        </is>
      </c>
      <c r="D18" s="15" t="n">
        <v>113</v>
      </c>
      <c r="E18" s="47" t="inlineStr">
        <is>
          <t>18 x 20</t>
        </is>
      </c>
      <c r="F18" s="45" t="n">
        <v>33.45</v>
      </c>
      <c r="G18" s="54">
        <f>D18*F18/10000</f>
        <v/>
      </c>
      <c r="H18" s="16">
        <f>SUM(D$16:D18)</f>
        <v/>
      </c>
      <c r="I18" s="15" t="n">
        <v>2825</v>
      </c>
      <c r="J18" s="16">
        <f>I18*Assumptions!$B$25</f>
        <v/>
      </c>
      <c r="K18" s="24">
        <f>J18/1000</f>
        <v/>
      </c>
    </row>
    <row r="19">
      <c r="A19" s="6" t="n">
        <v>4</v>
      </c>
      <c r="B19" s="47" t="inlineStr">
        <is>
          <t>Mona</t>
        </is>
      </c>
      <c r="C19" s="47" t="inlineStr">
        <is>
          <t>Percebal Carbonel</t>
        </is>
      </c>
      <c r="D19" s="15" t="n">
        <v>65</v>
      </c>
      <c r="E19" s="47" t="inlineStr">
        <is>
          <t>20 x 20</t>
        </is>
      </c>
      <c r="F19" s="45" t="n">
        <v>37.16</v>
      </c>
      <c r="G19" s="54">
        <f>D19*F19/10000</f>
        <v/>
      </c>
      <c r="H19" s="16">
        <f>SUM(D$16:D19)</f>
        <v/>
      </c>
      <c r="I19" s="15" t="n">
        <v>1300</v>
      </c>
      <c r="J19" s="16">
        <f>I19*Assumptions!$B$25</f>
        <v/>
      </c>
      <c r="K19" s="24">
        <f>J19/1000</f>
        <v/>
      </c>
    </row>
    <row r="20">
      <c r="A20" s="6" t="n">
        <v>5</v>
      </c>
      <c r="B20" s="47" t="inlineStr">
        <is>
          <t>Mona</t>
        </is>
      </c>
      <c r="C20" s="47" t="inlineStr">
        <is>
          <t>4 Salt Farmer Unsurveyed</t>
        </is>
      </c>
      <c r="D20" s="15" t="n">
        <v>400</v>
      </c>
      <c r="E20" s="47" t="inlineStr">
        <is>
          <t>18 x 20</t>
        </is>
      </c>
      <c r="F20" s="45" t="n">
        <v>33.45</v>
      </c>
      <c r="G20" s="54">
        <f>D20*F20/10000</f>
        <v/>
      </c>
      <c r="H20" s="16">
        <f>SUM(D$16:D20)</f>
        <v/>
      </c>
      <c r="I20" s="15" t="n">
        <v>10000</v>
      </c>
      <c r="J20" s="16">
        <f>I20*Assumptions!$B$25</f>
        <v/>
      </c>
      <c r="K20" s="24">
        <f>J20/1000</f>
        <v/>
      </c>
    </row>
    <row r="21">
      <c r="A21" s="6" t="n">
        <v>6</v>
      </c>
      <c r="B21" s="47" t="inlineStr">
        <is>
          <t>Pandan</t>
        </is>
      </c>
      <c r="C21" s="47" t="inlineStr">
        <is>
          <t>Concepcion Legaspi Nato</t>
        </is>
      </c>
      <c r="D21" s="15" t="n">
        <v>513</v>
      </c>
      <c r="E21" s="47" t="inlineStr">
        <is>
          <t>18 x 20</t>
        </is>
      </c>
      <c r="F21" s="45" t="n">
        <v>33.45</v>
      </c>
      <c r="G21" s="54">
        <f>D21*F21/10000</f>
        <v/>
      </c>
      <c r="H21" s="16">
        <f>SUM(D$16:D21)</f>
        <v/>
      </c>
      <c r="I21" s="15" t="n">
        <v>10260</v>
      </c>
      <c r="J21" s="16">
        <f>I21*Assumptions!$B$25</f>
        <v/>
      </c>
      <c r="K21" s="24">
        <f>J21/1000</f>
        <v/>
      </c>
    </row>
    <row r="22">
      <c r="A22" s="6" t="n">
        <v>7</v>
      </c>
      <c r="B22" s="47" t="inlineStr">
        <is>
          <t>Pandan</t>
        </is>
      </c>
      <c r="C22" s="47" t="inlineStr">
        <is>
          <t>Crisanto R. Legaspi</t>
        </is>
      </c>
      <c r="D22" s="15" t="n">
        <v>145</v>
      </c>
      <c r="E22" s="47" t="inlineStr">
        <is>
          <t>18 x 20</t>
        </is>
      </c>
      <c r="F22" s="45" t="n">
        <v>33.45</v>
      </c>
      <c r="G22" s="54">
        <f>D22*F22/10000</f>
        <v/>
      </c>
      <c r="H22" s="16">
        <f>SUM(D$16:D22)</f>
        <v/>
      </c>
      <c r="I22" s="15" t="n">
        <v>2900</v>
      </c>
      <c r="J22" s="16">
        <f>I22*Assumptions!$B$25</f>
        <v/>
      </c>
      <c r="K22" s="24">
        <f>J22/1000</f>
        <v/>
      </c>
    </row>
    <row r="23">
      <c r="A23" s="6" t="n">
        <v>8</v>
      </c>
      <c r="B23" s="47" t="inlineStr">
        <is>
          <t>Pandan</t>
        </is>
      </c>
      <c r="C23" s="47" t="inlineStr">
        <is>
          <t>Ricardo D. Legaspi</t>
        </is>
      </c>
      <c r="D23" s="15" t="n">
        <v>60</v>
      </c>
      <c r="E23" s="47" t="inlineStr">
        <is>
          <t>18 x 20</t>
        </is>
      </c>
      <c r="F23" s="45" t="n">
        <v>33.45</v>
      </c>
      <c r="G23" s="54">
        <f>D23*F23/10000</f>
        <v/>
      </c>
      <c r="H23" s="16">
        <f>SUM(D$16:D23)</f>
        <v/>
      </c>
      <c r="I23" s="15" t="n">
        <v>1200</v>
      </c>
      <c r="J23" s="16">
        <f>I23*Assumptions!$B$25</f>
        <v/>
      </c>
      <c r="K23" s="24">
        <f>J23/1000</f>
        <v/>
      </c>
    </row>
    <row r="24">
      <c r="A24" s="6" t="n">
        <v>9</v>
      </c>
      <c r="B24" s="47" t="inlineStr">
        <is>
          <t>Pandan</t>
        </is>
      </c>
      <c r="C24" s="47" t="inlineStr">
        <is>
          <t>Salvador Braganza</t>
        </is>
      </c>
      <c r="D24" s="15" t="n">
        <v>130</v>
      </c>
      <c r="E24" s="47" t="inlineStr">
        <is>
          <t>18 x 20</t>
        </is>
      </c>
      <c r="F24" s="45" t="n">
        <v>33.45</v>
      </c>
      <c r="G24" s="54">
        <f>D24*F24/10000</f>
        <v/>
      </c>
      <c r="H24" s="16">
        <f>SUM(D$16:D24)</f>
        <v/>
      </c>
      <c r="I24" s="15" t="n">
        <v>2600</v>
      </c>
      <c r="J24" s="16">
        <f>I24*Assumptions!$B$25</f>
        <v/>
      </c>
      <c r="K24" s="24">
        <f>J24/1000</f>
        <v/>
      </c>
    </row>
    <row r="25">
      <c r="A25" s="6" t="n">
        <v>10</v>
      </c>
      <c r="B25" s="47" t="inlineStr">
        <is>
          <t>Pandan</t>
        </is>
      </c>
      <c r="C25" s="47" t="inlineStr">
        <is>
          <t>Salvador R. Legaspi</t>
        </is>
      </c>
      <c r="D25" s="15" t="n">
        <v>90</v>
      </c>
      <c r="E25" s="47" t="inlineStr">
        <is>
          <t>18 x 20</t>
        </is>
      </c>
      <c r="F25" s="45" t="n">
        <v>33.45</v>
      </c>
      <c r="G25" s="54">
        <f>D25*F25/10000</f>
        <v/>
      </c>
      <c r="H25" s="16">
        <f>SUM(D$16:D25)</f>
        <v/>
      </c>
      <c r="I25" s="15" t="n">
        <v>1800</v>
      </c>
      <c r="J25" s="16">
        <f>I25*Assumptions!$B$25</f>
        <v/>
      </c>
      <c r="K25" s="24">
        <f>J25/1000</f>
        <v/>
      </c>
    </row>
    <row r="26">
      <c r="A26" s="6" t="n">
        <v>11</v>
      </c>
      <c r="B26" s="47" t="inlineStr">
        <is>
          <t>Pangapisan</t>
        </is>
      </c>
      <c r="C26" s="47" t="inlineStr">
        <is>
          <t>Bobby G. Bautista</t>
        </is>
      </c>
      <c r="D26" s="15" t="n">
        <v>150</v>
      </c>
      <c r="E26" s="47" t="inlineStr">
        <is>
          <t>18 x 20</t>
        </is>
      </c>
      <c r="F26" s="45" t="n">
        <v>33.45</v>
      </c>
      <c r="G26" s="54">
        <f>D26*F26/10000</f>
        <v/>
      </c>
      <c r="H26" s="16">
        <f>SUM(D$16:D26)</f>
        <v/>
      </c>
      <c r="I26" s="15" t="n">
        <v>2250</v>
      </c>
      <c r="J26" s="16">
        <f>I26*Assumptions!$B$25</f>
        <v/>
      </c>
      <c r="K26" s="24">
        <f>J26/1000</f>
        <v/>
      </c>
    </row>
    <row r="27">
      <c r="A27" s="6" t="n">
        <v>12</v>
      </c>
      <c r="B27" s="47" t="inlineStr">
        <is>
          <t>Pangapisan</t>
        </is>
      </c>
      <c r="C27" s="47" t="inlineStr">
        <is>
          <t>Christopher De Guzman</t>
        </is>
      </c>
      <c r="D27" s="15" t="n">
        <v>140</v>
      </c>
      <c r="E27" s="47" t="inlineStr">
        <is>
          <t>18 x 20</t>
        </is>
      </c>
      <c r="F27" s="45" t="n">
        <v>33.45</v>
      </c>
      <c r="G27" s="54">
        <f>D27*F27/10000</f>
        <v/>
      </c>
      <c r="H27" s="16">
        <f>SUM(D$16:D27)</f>
        <v/>
      </c>
      <c r="I27" s="15" t="n">
        <v>3500</v>
      </c>
      <c r="J27" s="16">
        <f>I27*Assumptions!$B$25</f>
        <v/>
      </c>
      <c r="K27" s="24">
        <f>J27/1000</f>
        <v/>
      </c>
    </row>
    <row r="28">
      <c r="A28" s="6" t="n">
        <v>13</v>
      </c>
      <c r="B28" s="47" t="inlineStr">
        <is>
          <t>Pangapisan</t>
        </is>
      </c>
      <c r="C28" s="47" t="inlineStr">
        <is>
          <t>Dindo Renato Jimenez</t>
        </is>
      </c>
      <c r="D28" s="15" t="n">
        <v>212</v>
      </c>
      <c r="E28" s="47" t="inlineStr">
        <is>
          <t>18 x 20</t>
        </is>
      </c>
      <c r="F28" s="45" t="n">
        <v>33.45</v>
      </c>
      <c r="G28" s="54">
        <f>D28*F28/10000</f>
        <v/>
      </c>
      <c r="H28" s="16">
        <f>SUM(D$16:D28)</f>
        <v/>
      </c>
      <c r="I28" s="15" t="n">
        <v>6360</v>
      </c>
      <c r="J28" s="16">
        <f>I28*Assumptions!$B$25</f>
        <v/>
      </c>
      <c r="K28" s="24">
        <f>J28/1000</f>
        <v/>
      </c>
    </row>
    <row r="29">
      <c r="A29" s="6" t="n">
        <v>14</v>
      </c>
      <c r="B29" s="47" t="inlineStr">
        <is>
          <t>Pangapisan</t>
        </is>
      </c>
      <c r="C29" s="47" t="inlineStr">
        <is>
          <t>Dominador Q. Tamayo</t>
        </is>
      </c>
      <c r="D29" s="15" t="n">
        <v>58</v>
      </c>
      <c r="E29" s="47" t="inlineStr">
        <is>
          <t>18 x 20</t>
        </is>
      </c>
      <c r="F29" s="45" t="n">
        <v>33.45</v>
      </c>
      <c r="G29" s="54">
        <f>D29*F29/10000</f>
        <v/>
      </c>
      <c r="H29" s="16">
        <f>SUM(D$16:D29)</f>
        <v/>
      </c>
      <c r="I29" s="15" t="n">
        <v>1160</v>
      </c>
      <c r="J29" s="16">
        <f>I29*Assumptions!$B$25</f>
        <v/>
      </c>
      <c r="K29" s="24">
        <f>J29/1000</f>
        <v/>
      </c>
    </row>
    <row r="30">
      <c r="A30" s="6" t="n">
        <v>15</v>
      </c>
      <c r="B30" s="47" t="inlineStr">
        <is>
          <t>Pangapisan</t>
        </is>
      </c>
      <c r="C30" s="47" t="inlineStr">
        <is>
          <t>Edgardo Sanches</t>
        </is>
      </c>
      <c r="D30" s="15" t="n">
        <v>115</v>
      </c>
      <c r="E30" s="47" t="inlineStr">
        <is>
          <t>18 x 20</t>
        </is>
      </c>
      <c r="F30" s="45" t="n">
        <v>33.45</v>
      </c>
      <c r="G30" s="54">
        <f>D30*F30/10000</f>
        <v/>
      </c>
      <c r="H30" s="16">
        <f>SUM(D$16:D30)</f>
        <v/>
      </c>
      <c r="I30" s="15" t="n">
        <v>2875</v>
      </c>
      <c r="J30" s="16">
        <f>I30*Assumptions!$B$25</f>
        <v/>
      </c>
      <c r="K30" s="24">
        <f>J30/1000</f>
        <v/>
      </c>
    </row>
    <row r="31">
      <c r="A31" s="6" t="n">
        <v>16</v>
      </c>
      <c r="B31" s="47" t="inlineStr">
        <is>
          <t>Pangapisan</t>
        </is>
      </c>
      <c r="C31" s="47" t="inlineStr">
        <is>
          <t>Elias Rapelo</t>
        </is>
      </c>
      <c r="D31" s="15" t="n">
        <v>40</v>
      </c>
      <c r="E31" s="47" t="inlineStr">
        <is>
          <t>20 x 22</t>
        </is>
      </c>
      <c r="F31" s="45" t="n">
        <v>40.88</v>
      </c>
      <c r="G31" s="54">
        <f>D31*F31/10000</f>
        <v/>
      </c>
      <c r="H31" s="16">
        <f>SUM(D$16:D31)</f>
        <v/>
      </c>
      <c r="I31" s="15" t="n">
        <v>800</v>
      </c>
      <c r="J31" s="16">
        <f>I31*Assumptions!$B$25</f>
        <v/>
      </c>
      <c r="K31" s="24">
        <f>J31/1000</f>
        <v/>
      </c>
    </row>
    <row r="32">
      <c r="A32" s="6" t="n">
        <v>17</v>
      </c>
      <c r="B32" s="47" t="inlineStr">
        <is>
          <t>Pangapisan</t>
        </is>
      </c>
      <c r="C32" s="47" t="inlineStr">
        <is>
          <t>Enrique D. Mariano</t>
        </is>
      </c>
      <c r="D32" s="15" t="n">
        <v>284</v>
      </c>
      <c r="E32" s="47" t="inlineStr">
        <is>
          <t>18 x 22</t>
        </is>
      </c>
      <c r="F32" s="45" t="n">
        <v>36.79</v>
      </c>
      <c r="G32" s="54">
        <f>D32*F32/10000</f>
        <v/>
      </c>
      <c r="H32" s="16">
        <f>SUM(D$16:D32)</f>
        <v/>
      </c>
      <c r="I32" s="15" t="n">
        <v>5680</v>
      </c>
      <c r="J32" s="16">
        <f>I32*Assumptions!$B$25</f>
        <v/>
      </c>
      <c r="K32" s="24">
        <f>J32/1000</f>
        <v/>
      </c>
    </row>
    <row r="33">
      <c r="A33" s="6" t="n">
        <v>18</v>
      </c>
      <c r="B33" s="47" t="inlineStr">
        <is>
          <t>Pangapisan</t>
        </is>
      </c>
      <c r="C33" s="47" t="inlineStr">
        <is>
          <t>Gemma O. Viray</t>
        </is>
      </c>
      <c r="D33" s="15" t="n">
        <v>135</v>
      </c>
      <c r="E33" s="47" t="inlineStr">
        <is>
          <t>18 x 20</t>
        </is>
      </c>
      <c r="F33" s="45" t="n">
        <v>33.45</v>
      </c>
      <c r="G33" s="54">
        <f>D33*F33/10000</f>
        <v/>
      </c>
      <c r="H33" s="16">
        <f>SUM(D$16:D33)</f>
        <v/>
      </c>
      <c r="I33" s="15" t="n">
        <v>4050</v>
      </c>
      <c r="J33" s="16">
        <f>I33*Assumptions!$B$25</f>
        <v/>
      </c>
      <c r="K33" s="24">
        <f>J33/1000</f>
        <v/>
      </c>
    </row>
    <row r="34">
      <c r="A34" s="6" t="n">
        <v>19</v>
      </c>
      <c r="B34" s="47" t="inlineStr">
        <is>
          <t>Pangapisan</t>
        </is>
      </c>
      <c r="C34" s="47" t="inlineStr">
        <is>
          <t>Gerald Raphael Samonte Fernando (Ludy Dela Cruz)</t>
        </is>
      </c>
      <c r="D34" s="15" t="n">
        <v>131</v>
      </c>
      <c r="E34" s="47" t="inlineStr">
        <is>
          <t>18 x 20</t>
        </is>
      </c>
      <c r="F34" s="45" t="n">
        <v>33.45</v>
      </c>
      <c r="G34" s="54">
        <f>D34*F34/10000</f>
        <v/>
      </c>
      <c r="H34" s="16">
        <f>SUM(D$16:D34)</f>
        <v/>
      </c>
      <c r="I34" s="15" t="n">
        <v>3275</v>
      </c>
      <c r="J34" s="16">
        <f>I34*Assumptions!$B$25</f>
        <v/>
      </c>
      <c r="K34" s="24">
        <f>J34/1000</f>
        <v/>
      </c>
    </row>
    <row r="35">
      <c r="A35" s="6" t="n">
        <v>20</v>
      </c>
      <c r="B35" s="47" t="inlineStr">
        <is>
          <t>Pangapisan</t>
        </is>
      </c>
      <c r="C35" s="47" t="inlineStr">
        <is>
          <t>Isabel / Reynante Aqui</t>
        </is>
      </c>
      <c r="D35" s="15" t="n">
        <v>120</v>
      </c>
      <c r="E35" s="47" t="inlineStr">
        <is>
          <t>18 x 20</t>
        </is>
      </c>
      <c r="F35" s="45" t="n">
        <v>33.45</v>
      </c>
      <c r="G35" s="54">
        <f>D35*F35/10000</f>
        <v/>
      </c>
      <c r="H35" s="16">
        <f>SUM(D$16:D35)</f>
        <v/>
      </c>
      <c r="I35" s="15" t="n">
        <v>2400</v>
      </c>
      <c r="J35" s="16">
        <f>I35*Assumptions!$B$25</f>
        <v/>
      </c>
      <c r="K35" s="24">
        <f>J35/1000</f>
        <v/>
      </c>
    </row>
    <row r="36">
      <c r="A36" s="6" t="n">
        <v>21</v>
      </c>
      <c r="B36" s="47" t="inlineStr">
        <is>
          <t>Pangapisan</t>
        </is>
      </c>
      <c r="C36" s="47" t="inlineStr">
        <is>
          <t>Jaime Capitle</t>
        </is>
      </c>
      <c r="D36" s="15" t="n">
        <v>150</v>
      </c>
      <c r="E36" s="47" t="inlineStr">
        <is>
          <t>18 x 20</t>
        </is>
      </c>
      <c r="F36" s="45" t="n">
        <v>33.45</v>
      </c>
      <c r="G36" s="54">
        <f>D36*F36/10000</f>
        <v/>
      </c>
      <c r="H36" s="16">
        <f>SUM(D$16:D36)</f>
        <v/>
      </c>
      <c r="I36" s="15" t="n">
        <v>4500</v>
      </c>
      <c r="J36" s="16">
        <f>I36*Assumptions!$B$25</f>
        <v/>
      </c>
      <c r="K36" s="24">
        <f>J36/1000</f>
        <v/>
      </c>
    </row>
    <row r="37">
      <c r="A37" s="6" t="n">
        <v>22</v>
      </c>
      <c r="B37" s="47" t="inlineStr">
        <is>
          <t>Pangapisan</t>
        </is>
      </c>
      <c r="C37" s="47" t="inlineStr">
        <is>
          <t>Jaime Quezada</t>
        </is>
      </c>
      <c r="D37" s="15" t="n">
        <v>234</v>
      </c>
      <c r="E37" s="47" t="inlineStr">
        <is>
          <t>18 x 20</t>
        </is>
      </c>
      <c r="F37" s="45" t="n">
        <v>33.45</v>
      </c>
      <c r="G37" s="54">
        <f>D37*F37/10000</f>
        <v/>
      </c>
      <c r="H37" s="16">
        <f>SUM(D$16:D37)</f>
        <v/>
      </c>
      <c r="I37" s="15" t="n">
        <v>5850</v>
      </c>
      <c r="J37" s="16">
        <f>I37*Assumptions!$B$25</f>
        <v/>
      </c>
      <c r="K37" s="24">
        <f>J37/1000</f>
        <v/>
      </c>
    </row>
    <row r="38">
      <c r="A38" s="6" t="n">
        <v>23</v>
      </c>
      <c r="B38" s="47" t="inlineStr">
        <is>
          <t>Pangapisan</t>
        </is>
      </c>
      <c r="C38" s="47" t="inlineStr">
        <is>
          <t>Jason Gutierrez</t>
        </is>
      </c>
      <c r="D38" s="15" t="n">
        <v>400</v>
      </c>
      <c r="E38" s="47" t="inlineStr">
        <is>
          <t>18 x 20</t>
        </is>
      </c>
      <c r="F38" s="45" t="n">
        <v>33.45</v>
      </c>
      <c r="G38" s="54">
        <f>D38*F38/10000</f>
        <v/>
      </c>
      <c r="H38" s="16">
        <f>SUM(D$16:D38)</f>
        <v/>
      </c>
      <c r="I38" s="15" t="n">
        <v>12000</v>
      </c>
      <c r="J38" s="16">
        <f>I38*Assumptions!$B$25</f>
        <v/>
      </c>
      <c r="K38" s="24">
        <f>J38/1000</f>
        <v/>
      </c>
    </row>
    <row r="39">
      <c r="A39" s="6" t="n">
        <v>24</v>
      </c>
      <c r="B39" s="47" t="inlineStr">
        <is>
          <t>Pangapisan</t>
        </is>
      </c>
      <c r="C39" s="47" t="inlineStr">
        <is>
          <t>Jason Gutierrez</t>
        </is>
      </c>
      <c r="D39" s="15" t="n">
        <v>800</v>
      </c>
      <c r="E39" s="47" t="inlineStr">
        <is>
          <t>20 x 22</t>
        </is>
      </c>
      <c r="F39" s="45" t="n">
        <v>40.88</v>
      </c>
      <c r="G39" s="54">
        <f>D39*F39/10000</f>
        <v/>
      </c>
      <c r="H39" s="16">
        <f>SUM(D$16:D39)</f>
        <v/>
      </c>
      <c r="I39" s="15" t="n">
        <v>32000</v>
      </c>
      <c r="J39" s="16">
        <f>I39*Assumptions!$B$25</f>
        <v/>
      </c>
      <c r="K39" s="24">
        <f>J39/1000</f>
        <v/>
      </c>
    </row>
    <row r="40">
      <c r="A40" s="6" t="n">
        <v>25</v>
      </c>
      <c r="B40" s="47" t="inlineStr">
        <is>
          <t>Pangapisan</t>
        </is>
      </c>
      <c r="C40" s="47" t="inlineStr">
        <is>
          <t>Jazlee Jimenez / Conching Jimenez</t>
        </is>
      </c>
      <c r="D40" s="15" t="n">
        <v>60</v>
      </c>
      <c r="E40" s="47" t="inlineStr">
        <is>
          <t>20 x 20</t>
        </is>
      </c>
      <c r="F40" s="45" t="n">
        <v>37.16</v>
      </c>
      <c r="G40" s="54">
        <f>D40*F40/10000</f>
        <v/>
      </c>
      <c r="H40" s="16">
        <f>SUM(D$16:D40)</f>
        <v/>
      </c>
      <c r="I40" s="15" t="n">
        <v>1500</v>
      </c>
      <c r="J40" s="16">
        <f>I40*Assumptions!$B$25</f>
        <v/>
      </c>
      <c r="K40" s="24">
        <f>J40/1000</f>
        <v/>
      </c>
    </row>
    <row r="41">
      <c r="A41" s="6" t="n">
        <v>26</v>
      </c>
      <c r="B41" s="47" t="inlineStr">
        <is>
          <t>Pangapisan</t>
        </is>
      </c>
      <c r="C41" s="47" t="inlineStr">
        <is>
          <t>Jemar Mariano</t>
        </is>
      </c>
      <c r="D41" s="15" t="n">
        <v>134</v>
      </c>
      <c r="E41" s="47" t="inlineStr">
        <is>
          <t>18 x 20</t>
        </is>
      </c>
      <c r="F41" s="45" t="n">
        <v>33.45</v>
      </c>
      <c r="G41" s="54">
        <f>D41*F41/10000</f>
        <v/>
      </c>
      <c r="H41" s="16">
        <f>SUM(D$16:D41)</f>
        <v/>
      </c>
      <c r="I41" s="15" t="n">
        <v>2680</v>
      </c>
      <c r="J41" s="16">
        <f>I41*Assumptions!$B$25</f>
        <v/>
      </c>
      <c r="K41" s="24">
        <f>J41/1000</f>
        <v/>
      </c>
    </row>
    <row r="42">
      <c r="A42" s="6" t="n">
        <v>27</v>
      </c>
      <c r="B42" s="47" t="inlineStr">
        <is>
          <t>Pangapisan</t>
        </is>
      </c>
      <c r="C42" s="47" t="inlineStr">
        <is>
          <t>Norberto Reyes</t>
        </is>
      </c>
      <c r="D42" s="15" t="n">
        <v>179</v>
      </c>
      <c r="E42" s="47" t="inlineStr">
        <is>
          <t>18 x 20</t>
        </is>
      </c>
      <c r="F42" s="45" t="n">
        <v>33.45</v>
      </c>
      <c r="G42" s="54">
        <f>D42*F42/10000</f>
        <v/>
      </c>
      <c r="H42" s="16">
        <f>SUM(D$16:D42)</f>
        <v/>
      </c>
      <c r="I42" s="15" t="n">
        <v>3580</v>
      </c>
      <c r="J42" s="16">
        <f>I42*Assumptions!$B$25</f>
        <v/>
      </c>
      <c r="K42" s="24">
        <f>J42/1000</f>
        <v/>
      </c>
    </row>
    <row r="43">
      <c r="A43" s="6" t="n">
        <v>28</v>
      </c>
      <c r="B43" s="47" t="inlineStr">
        <is>
          <t>Pangapisan</t>
        </is>
      </c>
      <c r="C43" s="47" t="inlineStr">
        <is>
          <t>Paula E. Remiendo / Anita Remiendo</t>
        </is>
      </c>
      <c r="D43" s="15" t="n">
        <v>30</v>
      </c>
      <c r="E43" s="47" t="inlineStr">
        <is>
          <t>18 x 20</t>
        </is>
      </c>
      <c r="F43" s="45" t="n">
        <v>33.45</v>
      </c>
      <c r="G43" s="54">
        <f>D43*F43/10000</f>
        <v/>
      </c>
      <c r="H43" s="16">
        <f>SUM(D$16:D43)</f>
        <v/>
      </c>
      <c r="I43" s="15" t="n">
        <v>750</v>
      </c>
      <c r="J43" s="16">
        <f>I43*Assumptions!$B$25</f>
        <v/>
      </c>
      <c r="K43" s="24">
        <f>J43/1000</f>
        <v/>
      </c>
    </row>
    <row r="44">
      <c r="A44" s="6" t="n">
        <v>29</v>
      </c>
      <c r="B44" s="47" t="inlineStr">
        <is>
          <t>Pangapisan</t>
        </is>
      </c>
      <c r="C44" s="47" t="inlineStr">
        <is>
          <t>Rodolfo R. Ignacio</t>
        </is>
      </c>
      <c r="D44" s="15" t="n">
        <v>803</v>
      </c>
      <c r="E44" s="47" t="inlineStr">
        <is>
          <t>20 x 22</t>
        </is>
      </c>
      <c r="F44" s="45" t="n">
        <v>40.88</v>
      </c>
      <c r="G44" s="54">
        <f>D44*F44/10000</f>
        <v/>
      </c>
      <c r="H44" s="16">
        <f>SUM(D$16:D44)</f>
        <v/>
      </c>
      <c r="I44" s="15" t="n">
        <v>16060</v>
      </c>
      <c r="J44" s="16">
        <f>I44*Assumptions!$B$25</f>
        <v/>
      </c>
      <c r="K44" s="24">
        <f>J44/1000</f>
        <v/>
      </c>
    </row>
    <row r="45">
      <c r="A45" s="6" t="n">
        <v>30</v>
      </c>
      <c r="B45" s="47" t="inlineStr">
        <is>
          <t>Pangapisan</t>
        </is>
      </c>
      <c r="C45" s="47" t="inlineStr">
        <is>
          <t>Rolly S. Rabanera</t>
        </is>
      </c>
      <c r="D45" s="15" t="n">
        <v>153</v>
      </c>
      <c r="E45" s="47" t="inlineStr">
        <is>
          <t>18 x 20</t>
        </is>
      </c>
      <c r="F45" s="45" t="n">
        <v>33.45</v>
      </c>
      <c r="G45" s="54">
        <f>D45*F45/10000</f>
        <v/>
      </c>
      <c r="H45" s="16">
        <f>SUM(D$16:D45)</f>
        <v/>
      </c>
      <c r="I45" s="15" t="n">
        <v>3825</v>
      </c>
      <c r="J45" s="16">
        <f>I45*Assumptions!$B$25</f>
        <v/>
      </c>
      <c r="K45" s="24">
        <f>J45/1000</f>
        <v/>
      </c>
    </row>
    <row r="46">
      <c r="A46" s="6" t="n">
        <v>31</v>
      </c>
      <c r="B46" s="47" t="inlineStr">
        <is>
          <t>Pangapisan</t>
        </is>
      </c>
      <c r="C46" s="47" t="inlineStr">
        <is>
          <t>Romeo Del Rosario</t>
        </is>
      </c>
      <c r="D46" s="15" t="n">
        <v>104</v>
      </c>
      <c r="E46" s="47" t="inlineStr">
        <is>
          <t>18 x 20</t>
        </is>
      </c>
      <c r="F46" s="45" t="n">
        <v>33.45</v>
      </c>
      <c r="G46" s="54">
        <f>D46*F46/10000</f>
        <v/>
      </c>
      <c r="H46" s="16">
        <f>SUM(D$16:D46)</f>
        <v/>
      </c>
      <c r="I46" s="15" t="n">
        <v>2600</v>
      </c>
      <c r="J46" s="16">
        <f>I46*Assumptions!$B$25</f>
        <v/>
      </c>
      <c r="K46" s="24">
        <f>J46/1000</f>
        <v/>
      </c>
    </row>
    <row r="47">
      <c r="A47" s="6" t="n">
        <v>32</v>
      </c>
      <c r="B47" s="47" t="inlineStr">
        <is>
          <t>Pangapisan</t>
        </is>
      </c>
      <c r="C47" s="47" t="inlineStr">
        <is>
          <t>Rowell A. Castillo</t>
        </is>
      </c>
      <c r="D47" s="15" t="n">
        <v>73</v>
      </c>
      <c r="E47" s="47" t="inlineStr">
        <is>
          <t>18 x 20</t>
        </is>
      </c>
      <c r="F47" s="45" t="n">
        <v>33.45</v>
      </c>
      <c r="G47" s="54">
        <f>D47*F47/10000</f>
        <v/>
      </c>
      <c r="H47" s="16">
        <f>SUM(D$16:D47)</f>
        <v/>
      </c>
      <c r="I47" s="15" t="n">
        <v>1825</v>
      </c>
      <c r="J47" s="16">
        <f>I47*Assumptions!$B$25</f>
        <v/>
      </c>
      <c r="K47" s="24">
        <f>J47/1000</f>
        <v/>
      </c>
    </row>
    <row r="48">
      <c r="A48" s="6" t="n">
        <v>33</v>
      </c>
      <c r="B48" s="47" t="inlineStr">
        <is>
          <t>Pangapisan</t>
        </is>
      </c>
      <c r="C48" s="47" t="inlineStr">
        <is>
          <t>Santiago Corpuz</t>
        </is>
      </c>
      <c r="D48" s="15" t="n">
        <v>185</v>
      </c>
      <c r="E48" s="47" t="inlineStr">
        <is>
          <t>18 x 22</t>
        </is>
      </c>
      <c r="F48" s="45" t="n">
        <v>36.79</v>
      </c>
      <c r="G48" s="54">
        <f>D48*F48/10000</f>
        <v/>
      </c>
      <c r="H48" s="16">
        <f>SUM(D$16:D48)</f>
        <v/>
      </c>
      <c r="I48" s="15" t="n">
        <v>3700</v>
      </c>
      <c r="J48" s="16">
        <f>I48*Assumptions!$B$25</f>
        <v/>
      </c>
      <c r="K48" s="24">
        <f>J48/1000</f>
        <v/>
      </c>
    </row>
    <row r="49">
      <c r="A49" s="6" t="n">
        <v>34</v>
      </c>
      <c r="B49" s="47" t="inlineStr">
        <is>
          <t>Pangapisan</t>
        </is>
      </c>
      <c r="C49" s="47" t="inlineStr">
        <is>
          <t>Servilliano Nanedo, Jr.</t>
        </is>
      </c>
      <c r="D49" s="15" t="n">
        <v>55</v>
      </c>
      <c r="E49" s="47" t="inlineStr">
        <is>
          <t>18 x 21</t>
        </is>
      </c>
      <c r="F49" s="45" t="n">
        <v>35.12</v>
      </c>
      <c r="G49" s="54">
        <f>D49*F49/10000</f>
        <v/>
      </c>
      <c r="H49" s="16">
        <f>SUM(D$16:D49)</f>
        <v/>
      </c>
      <c r="I49" s="15" t="n">
        <v>1375</v>
      </c>
      <c r="J49" s="16">
        <f>I49*Assumptions!$B$25</f>
        <v/>
      </c>
      <c r="K49" s="24">
        <f>J49/1000</f>
        <v/>
      </c>
    </row>
    <row r="50">
      <c r="A50" s="6" t="n">
        <v>35</v>
      </c>
      <c r="B50" s="47" t="inlineStr">
        <is>
          <t>Pangapisan</t>
        </is>
      </c>
      <c r="C50" s="47" t="inlineStr">
        <is>
          <t>Toribio E. Jimenez, Jr.</t>
        </is>
      </c>
      <c r="D50" s="15" t="n">
        <v>160</v>
      </c>
      <c r="E50" s="47" t="inlineStr">
        <is>
          <t>18 x 20</t>
        </is>
      </c>
      <c r="F50" s="45" t="n">
        <v>33.45</v>
      </c>
      <c r="G50" s="54">
        <f>D50*F50/10000</f>
        <v/>
      </c>
      <c r="H50" s="16">
        <f>SUM(D$16:D50)</f>
        <v/>
      </c>
      <c r="I50" s="15" t="n">
        <v>3200</v>
      </c>
      <c r="J50" s="16">
        <f>I50*Assumptions!$B$25</f>
        <v/>
      </c>
      <c r="K50" s="24">
        <f>J50/1000</f>
        <v/>
      </c>
    </row>
    <row r="51">
      <c r="A51" s="6" t="n">
        <v>36</v>
      </c>
      <c r="B51" s="47" t="inlineStr">
        <is>
          <t>Pangapisan</t>
        </is>
      </c>
      <c r="C51" s="47" t="inlineStr">
        <is>
          <t>Trelita Llanoza Palapan</t>
        </is>
      </c>
      <c r="D51" s="15" t="n">
        <v>139</v>
      </c>
      <c r="E51" s="47" t="inlineStr">
        <is>
          <t>18 x 22</t>
        </is>
      </c>
      <c r="F51" s="45" t="n">
        <v>36.79</v>
      </c>
      <c r="G51" s="54">
        <f>D51*F51/10000</f>
        <v/>
      </c>
      <c r="H51" s="16">
        <f>SUM(D$16:D51)</f>
        <v/>
      </c>
      <c r="I51" s="15" t="n">
        <v>2780</v>
      </c>
      <c r="J51" s="16">
        <f>I51*Assumptions!$B$25</f>
        <v/>
      </c>
      <c r="K51" s="24">
        <f>J51/1000</f>
        <v/>
      </c>
    </row>
    <row r="52">
      <c r="A52" s="6" t="n">
        <v>37</v>
      </c>
      <c r="B52" s="47" t="inlineStr">
        <is>
          <t>Pangapisan</t>
        </is>
      </c>
      <c r="C52" s="47" t="inlineStr">
        <is>
          <t>Wilfredo B. Onias</t>
        </is>
      </c>
      <c r="D52" s="15" t="n">
        <v>157</v>
      </c>
      <c r="E52" s="47" t="inlineStr">
        <is>
          <t>18 x 21</t>
        </is>
      </c>
      <c r="F52" s="45" t="n">
        <v>35.12</v>
      </c>
      <c r="G52" s="54">
        <f>D52*F52/10000</f>
        <v/>
      </c>
      <c r="H52" s="16">
        <f>SUM(D$16:D52)</f>
        <v/>
      </c>
      <c r="I52" s="15" t="n">
        <v>3140</v>
      </c>
      <c r="J52" s="16">
        <f>I52*Assumptions!$B$25</f>
        <v/>
      </c>
      <c r="K52" s="24">
        <f>J52/1000</f>
        <v/>
      </c>
    </row>
    <row r="53">
      <c r="A53" s="6" t="n">
        <v>38</v>
      </c>
      <c r="B53" s="47" t="inlineStr">
        <is>
          <t>Pangapisan</t>
        </is>
      </c>
      <c r="C53" s="47" t="inlineStr">
        <is>
          <t>3 Unsurveyed Salt Farmer</t>
        </is>
      </c>
      <c r="D53" s="15" t="n">
        <v>300</v>
      </c>
      <c r="E53" s="47" t="inlineStr">
        <is>
          <t>18 x 20</t>
        </is>
      </c>
      <c r="F53" s="45" t="n">
        <v>33.45</v>
      </c>
      <c r="G53" s="54">
        <f>D53*F53/10000</f>
        <v/>
      </c>
      <c r="H53" s="16">
        <f>SUM(D$16:D53)</f>
        <v/>
      </c>
      <c r="I53" s="15" t="n">
        <v>7500</v>
      </c>
      <c r="J53" s="16">
        <f>I53*Assumptions!$B$25</f>
        <v/>
      </c>
      <c r="K53" s="24">
        <f>J53/1000</f>
        <v/>
      </c>
    </row>
    <row r="54">
      <c r="A54" s="18" t="inlineStr">
        <is>
          <t>Total</t>
        </is>
      </c>
      <c r="D54" s="29">
        <f>SUM(D16:D53)</f>
        <v/>
      </c>
      <c r="G54" s="19">
        <f>SUM(G16:G53)</f>
        <v/>
      </c>
      <c r="I54" s="29">
        <f>SUM(I16:I53)</f>
        <v/>
      </c>
      <c r="J54" s="29">
        <f>SUM(J16:J53)</f>
        <v/>
      </c>
      <c r="K54" s="43">
        <f>SUM(K16:K53)</f>
        <v/>
      </c>
    </row>
    <row r="55">
      <c r="A55" s="2" t="inlineStr">
        <is>
          <t>Master sheet labels column U 'per day'. It is read here as kg per month; the sheet's own column V (= U × 30) is not used (Testing T10). The sheet leaves Alaminos annual production empty; column J fills it.</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42"/>
  <sheetViews>
    <sheetView showGridLines="0" topLeftCell="A14" workbookViewId="0">
      <selection activeCell="A36" sqref="A36:F36"/>
    </sheetView>
  </sheetViews>
  <sheetFormatPr baseColWidth="8" defaultColWidth="8.675925925925929" defaultRowHeight="14.4"/>
  <cols>
    <col width="44" customWidth="1" min="1" max="1"/>
    <col width="14" customWidth="1" min="2" max="3"/>
    <col width="16" customWidth="1" min="4" max="4"/>
    <col width="14" customWidth="1" min="5" max="8"/>
    <col width="16" customWidth="1" min="9" max="10"/>
    <col width="12" customWidth="1" min="11" max="11"/>
    <col width="14" customWidth="1" min="12" max="13"/>
    <col width="70" customWidth="1" min="14" max="14"/>
  </cols>
  <sheetData>
    <row r="1" ht="17.4" customHeight="1">
      <c r="A1" s="1" t="inlineStr">
        <is>
          <t>Annual production by municipality – source selection</t>
        </is>
      </c>
    </row>
    <row r="2">
      <c r="A2" s="2" t="inlineStr">
        <is>
          <t>Rule: primary value if available, otherwise FOI (BFAR RFO1). Units: kg.</t>
        </is>
      </c>
    </row>
    <row r="3" ht="42" customHeight="1">
      <c r="A3" s="5" t="inlineStr">
        <is>
          <t>Municipality</t>
        </is>
      </c>
      <c r="B3" s="5" t="inlineStr">
        <is>
          <t>FOI 2024</t>
        </is>
      </c>
      <c r="C3" s="5" t="inlineStr">
        <is>
          <t>FOI 2025</t>
        </is>
      </c>
      <c r="D3" s="5" t="inlineStr">
        <is>
          <t>FOI 2026 (provisional)</t>
        </is>
      </c>
      <c r="E3" s="5" t="inlineStr">
        <is>
          <t>Primary 2024</t>
        </is>
      </c>
      <c r="F3" s="5" t="inlineStr">
        <is>
          <t>Primary 2025</t>
        </is>
      </c>
      <c r="G3" s="5" t="inlineStr">
        <is>
          <t>Selected 2024</t>
        </is>
      </c>
      <c r="H3" s="5" t="inlineStr">
        <is>
          <t>Selected 2025</t>
        </is>
      </c>
      <c r="I3" s="5" t="inlineStr">
        <is>
          <t>Source 2024</t>
        </is>
      </c>
      <c r="J3" s="5" t="inlineStr">
        <is>
          <t>Source 2025</t>
        </is>
      </c>
      <c r="K3" s="5" t="inlineStr">
        <is>
          <t>Coverage multiplier</t>
        </is>
      </c>
      <c r="L3" s="5" t="inlineStr">
        <is>
          <t>Used 2024</t>
        </is>
      </c>
      <c r="M3" s="5" t="inlineStr">
        <is>
          <t>Used 2025</t>
        </is>
      </c>
      <c r="N3" s="5" t="inlineStr">
        <is>
          <t>Note</t>
        </is>
      </c>
    </row>
    <row r="4" ht="26.4" customHeight="1">
      <c r="A4" s="18" t="inlineStr">
        <is>
          <t>Alaminos City</t>
        </is>
      </c>
      <c r="B4" s="15" t="n">
        <v>446350</v>
      </c>
      <c r="C4" s="15" t="n">
        <v>1069740</v>
      </c>
      <c r="D4" s="15" t="n">
        <v>1327670</v>
      </c>
      <c r="E4" s="15" t="n"/>
      <c r="F4" s="16">
        <f>IF(Assumptions!B23=2,Alaminos_Beds!B14*Assumptions!B25,"")</f>
        <v/>
      </c>
      <c r="G4" s="16">
        <f>IF(ISNUMBER(E4),E4,B4)</f>
        <v/>
      </c>
      <c r="H4" s="16">
        <f>IF(ISNUMBER(F4),F4,C4)</f>
        <v/>
      </c>
      <c r="I4" s="6">
        <f>IF(ISNUMBER(E4),"Primary","FOI (secondary)")</f>
        <v/>
      </c>
      <c r="J4" s="6">
        <f>IF(ISNUMBER(F4),"Primary","FOI (secondary)")</f>
        <v/>
      </c>
      <c r="K4" s="17">
        <f>Assumptions!B13</f>
        <v/>
      </c>
      <c r="L4" s="16">
        <f>G4*K4</f>
        <v/>
      </c>
      <c r="M4" s="16">
        <f>H4*K4</f>
        <v/>
      </c>
      <c r="N4" s="39" t="inlineStr">
        <is>
          <t>2025 default (Assumptions!B23 = 2): primary master col. U (kg/month) × 6 months, 2.8% above FOI. 2024 stays FOI. B23 = 1 gives FOI.</t>
        </is>
      </c>
    </row>
    <row r="5">
      <c r="A5" s="18" t="inlineStr">
        <is>
          <t>Anda</t>
        </is>
      </c>
      <c r="B5" s="15" t="n">
        <v>115600</v>
      </c>
      <c r="C5" s="15" t="n">
        <v>1332211</v>
      </c>
      <c r="D5" s="15" t="n">
        <v>1510686</v>
      </c>
      <c r="E5" s="15" t="n"/>
      <c r="F5" s="15" t="n"/>
      <c r="G5" s="16">
        <f>IF(ISNUMBER(E5),E5,B5)</f>
        <v/>
      </c>
      <c r="H5" s="16">
        <f>IF(ISNUMBER(F5),F5,C5)</f>
        <v/>
      </c>
      <c r="I5" s="6">
        <f>IF(ISNUMBER(E5),"Primary","FOI (secondary)")</f>
        <v/>
      </c>
      <c r="J5" s="6">
        <f>IF(ISNUMBER(F5),"Primary","FOI (secondary)")</f>
        <v/>
      </c>
      <c r="K5" s="17">
        <f>Assumptions!B14</f>
        <v/>
      </c>
      <c r="L5" s="16">
        <f>G5*K5</f>
        <v/>
      </c>
      <c r="M5" s="16">
        <f>H5*K5</f>
        <v/>
      </c>
      <c r="N5" s="39" t="inlineStr">
        <is>
          <t>FOI only.</t>
        </is>
      </c>
    </row>
    <row r="6" ht="26.4" customHeight="1">
      <c r="A6" s="18" t="inlineStr">
        <is>
          <t>Bani</t>
        </is>
      </c>
      <c r="B6" s="15" t="n">
        <v>649400</v>
      </c>
      <c r="C6" s="15" t="n">
        <v>607800</v>
      </c>
      <c r="D6" s="15" t="n">
        <v>73500</v>
      </c>
      <c r="E6" s="16">
        <f>IF(Assumptions!B11=2,C23*1000,"")</f>
        <v/>
      </c>
      <c r="F6" s="16">
        <f>IF(Assumptions!B11=2,D23*1000,"")</f>
        <v/>
      </c>
      <c r="G6" s="16">
        <f>IF(ISNUMBER(E6),E6,B6)</f>
        <v/>
      </c>
      <c r="H6" s="16">
        <f>IF(ISNUMBER(F6),F6,C6)</f>
        <v/>
      </c>
      <c r="I6" s="6">
        <f>IF(ISNUMBER(E6),"Primary","FOI (secondary)")</f>
        <v/>
      </c>
      <c r="J6" s="6">
        <f>IF(ISNUMBER(F6),"Primary","FOI (secondary)")</f>
        <v/>
      </c>
      <c r="K6" s="17">
        <f>Assumptions!B15</f>
        <v/>
      </c>
      <c r="L6" s="16">
        <f>G6*K6</f>
        <v/>
      </c>
      <c r="M6" s="16">
        <f>H6*K6</f>
        <v/>
      </c>
      <c r="N6" s="39" t="inlineStr">
        <is>
          <t>FOI by default (Assumptions!B11 = 1). Master-sheet primary (9,445 / 8,160 MT) is available as option 2; its 2025 values equal exactly 40 t/ha × area.</t>
        </is>
      </c>
    </row>
    <row r="7">
      <c r="A7" s="18" t="inlineStr">
        <is>
          <t>Bolinao</t>
        </is>
      </c>
      <c r="B7" s="15" t="n">
        <v>21825</v>
      </c>
      <c r="C7" s="15" t="n">
        <v>4461917</v>
      </c>
      <c r="D7" s="15" t="n">
        <v>10420307</v>
      </c>
      <c r="E7" s="15" t="n"/>
      <c r="F7" s="15" t="n"/>
      <c r="G7" s="16">
        <f>IF(ISNUMBER(E7),E7,B7)</f>
        <v/>
      </c>
      <c r="H7" s="16">
        <f>IF(ISNUMBER(F7),F7,C7)</f>
        <v/>
      </c>
      <c r="I7" s="6">
        <f>IF(ISNUMBER(E7),"Primary","FOI (secondary)")</f>
        <v/>
      </c>
      <c r="J7" s="6">
        <f>IF(ISNUMBER(F7),"Primary","FOI (secondary)")</f>
        <v/>
      </c>
      <c r="K7" s="17">
        <f>Assumptions!B16</f>
        <v/>
      </c>
      <c r="L7" s="16">
        <f>G7*K7</f>
        <v/>
      </c>
      <c r="M7" s="16">
        <f>H7*K7</f>
        <v/>
      </c>
      <c r="N7" s="39" t="inlineStr">
        <is>
          <t>FOI only; 2024→2025 jump of ×204 indicates reporting expansion, not growth.</t>
        </is>
      </c>
    </row>
    <row r="8">
      <c r="A8" s="18" t="inlineStr">
        <is>
          <t>Dasol</t>
        </is>
      </c>
      <c r="B8" s="15" t="n">
        <v>579267</v>
      </c>
      <c r="C8" s="15" t="n">
        <v>776414</v>
      </c>
      <c r="D8" s="15" t="n">
        <v>629511</v>
      </c>
      <c r="E8" s="15" t="n"/>
      <c r="F8" s="15" t="n"/>
      <c r="G8" s="16">
        <f>IF(ISNUMBER(E8),E8,B8)</f>
        <v/>
      </c>
      <c r="H8" s="16">
        <f>IF(ISNUMBER(F8),F8,C8)</f>
        <v/>
      </c>
      <c r="I8" s="6">
        <f>IF(ISNUMBER(E8),"Primary","FOI (secondary)")</f>
        <v/>
      </c>
      <c r="J8" s="6">
        <f>IF(ISNUMBER(F8),"Primary","FOI (secondary)")</f>
        <v/>
      </c>
      <c r="K8" s="17">
        <f>Assumptions!B17</f>
        <v/>
      </c>
      <c r="L8" s="16">
        <f>G8*K8</f>
        <v/>
      </c>
      <c r="M8" s="16">
        <f>H8*K8</f>
        <v/>
      </c>
      <c r="N8" s="39" t="inlineStr">
        <is>
          <t>FOI only; ~3% of OPAg 2021 level (Testing T9).</t>
        </is>
      </c>
    </row>
    <row r="9">
      <c r="A9" s="18" t="inlineStr">
        <is>
          <t>Infanta</t>
        </is>
      </c>
      <c r="B9" s="15" t="n">
        <v>357916</v>
      </c>
      <c r="C9" s="15" t="n">
        <v>1436623</v>
      </c>
      <c r="D9" s="15" t="n">
        <v>928140</v>
      </c>
      <c r="E9" s="15" t="n"/>
      <c r="F9" s="15" t="n"/>
      <c r="G9" s="16">
        <f>IF(ISNUMBER(E9),E9,B9)</f>
        <v/>
      </c>
      <c r="H9" s="16">
        <f>IF(ISNUMBER(F9),F9,C9)</f>
        <v/>
      </c>
      <c r="I9" s="6">
        <f>IF(ISNUMBER(E9),"Primary","FOI (secondary)")</f>
        <v/>
      </c>
      <c r="J9" s="6">
        <f>IF(ISNUMBER(F9),"Primary","FOI (secondary)")</f>
        <v/>
      </c>
      <c r="K9" s="17">
        <f>Assumptions!B18</f>
        <v/>
      </c>
      <c r="L9" s="16">
        <f>G9*K9</f>
        <v/>
      </c>
      <c r="M9" s="16">
        <f>H9*K9</f>
        <v/>
      </c>
      <c r="N9" s="39" t="inlineStr">
        <is>
          <t>FOI only.</t>
        </is>
      </c>
    </row>
    <row r="10">
      <c r="A10" s="18" t="inlineStr">
        <is>
          <t>San Fabian</t>
        </is>
      </c>
      <c r="B10" s="15" t="n">
        <v>96000</v>
      </c>
      <c r="C10" s="15" t="n">
        <v>70495</v>
      </c>
      <c r="D10" s="15" t="n">
        <v>91975</v>
      </c>
      <c r="E10" s="16">
        <f>B30*1000</f>
        <v/>
      </c>
      <c r="F10" s="16">
        <f>B31*1000</f>
        <v/>
      </c>
      <c r="G10" s="16">
        <f>IF(ISNUMBER(E10),E10,B10)</f>
        <v/>
      </c>
      <c r="H10" s="16">
        <f>IF(ISNUMBER(F10),F10,C10)</f>
        <v/>
      </c>
      <c r="I10" s="6">
        <f>IF(ISNUMBER(E10),"Primary","FOI (secondary)")</f>
        <v/>
      </c>
      <c r="J10" s="6">
        <f>IF(ISNUMBER(F10),"Primary","FOI (secondary)")</f>
        <v/>
      </c>
      <c r="K10" s="17">
        <f>Assumptions!B19</f>
        <v/>
      </c>
      <c r="L10" s="16">
        <f>G10*K10</f>
        <v/>
      </c>
      <c r="M10" s="16">
        <f>H10*K10</f>
        <v/>
      </c>
      <c r="N10" s="39" t="inlineStr">
        <is>
          <t>Primary = email screenshots (cooked salt, Tiblong).</t>
        </is>
      </c>
    </row>
    <row r="11">
      <c r="A11" s="18" t="inlineStr">
        <is>
          <t>Total</t>
        </is>
      </c>
      <c r="B11" s="29">
        <f>SUM(B4:B10)</f>
        <v/>
      </c>
      <c r="C11" s="29">
        <f>SUM(C4:C10)</f>
        <v/>
      </c>
      <c r="D11" s="29">
        <f>SUM(D4:D10)</f>
        <v/>
      </c>
      <c r="G11" s="29">
        <f>SUM(G4:G10)</f>
        <v/>
      </c>
      <c r="H11" s="29">
        <f>SUM(H4:H10)</f>
        <v/>
      </c>
      <c r="L11" s="29">
        <f>SUM(L4:L10)</f>
        <v/>
      </c>
      <c r="M11" s="29">
        <f>SUM(M4:M10)</f>
        <v/>
      </c>
    </row>
    <row r="12">
      <c r="A12" s="6" t="inlineStr">
        <is>
          <t>Published FOI totals</t>
        </is>
      </c>
      <c r="B12" s="15" t="n">
        <v>2266358</v>
      </c>
      <c r="C12" s="15" t="n">
        <v>9755200</v>
      </c>
      <c r="D12" s="15" t="n">
        <v>14981789</v>
      </c>
    </row>
    <row r="13">
      <c r="A13" s="6" t="inlineStr">
        <is>
          <t>Check (computed − published)</t>
        </is>
      </c>
      <c r="B13" s="16">
        <f>B11-B12</f>
        <v/>
      </c>
      <c r="C13" s="16">
        <f>C11-C12</f>
        <v/>
      </c>
      <c r="D13" s="16">
        <f>D11-D12</f>
        <v/>
      </c>
    </row>
    <row r="16">
      <c r="A16" s="23" t="inlineStr">
        <is>
          <t>Bani – primary farm reports (master sheet rows 4–8)</t>
        </is>
      </c>
    </row>
    <row r="17" ht="42" customHeight="1">
      <c r="A17" s="5" t="inlineStr">
        <is>
          <t>Farm</t>
        </is>
      </c>
      <c r="B17" s="5" t="inlineStr">
        <is>
          <t>Total area (ha)</t>
        </is>
      </c>
      <c r="C17" s="5" t="inlineStr">
        <is>
          <t>2024 (MT)</t>
        </is>
      </c>
      <c r="D17" s="5" t="inlineStr">
        <is>
          <t>2025 (MT)</t>
        </is>
      </c>
      <c r="E17" s="5" t="inlineStr">
        <is>
          <t>2024 (t/ha)</t>
        </is>
      </c>
      <c r="F17" s="5" t="inlineStr">
        <is>
          <t>2025 (t/ha)</t>
        </is>
      </c>
    </row>
    <row r="18">
      <c r="A18" s="40" t="inlineStr">
        <is>
          <t>Borlongan Aqua Farm / Hernandez Salt Farm</t>
        </is>
      </c>
      <c r="B18" s="55" t="n">
        <v>48</v>
      </c>
      <c r="C18" s="14" t="n">
        <v>2160</v>
      </c>
      <c r="D18" s="14" t="n">
        <v>1920</v>
      </c>
      <c r="E18" s="56">
        <f>IF(C18&gt;0,C18/B18,"")</f>
        <v/>
      </c>
      <c r="F18" s="56">
        <f>IF(D18&gt;0,D18/B18,"")</f>
        <v/>
      </c>
    </row>
    <row r="19">
      <c r="A19" s="40" t="inlineStr">
        <is>
          <t>Salud Ilao Salt Farm</t>
        </is>
      </c>
      <c r="B19" s="55" t="n">
        <v>12</v>
      </c>
      <c r="C19" s="14" t="n">
        <v>238.49</v>
      </c>
      <c r="D19" s="14" t="n">
        <v>480</v>
      </c>
      <c r="E19" s="56">
        <f>IF(C19&gt;0,C19/B19,"")</f>
        <v/>
      </c>
      <c r="F19" s="56">
        <f>IF(D19&gt;0,D19/B19,"")</f>
        <v/>
      </c>
    </row>
    <row r="20">
      <c r="A20" s="40" t="inlineStr">
        <is>
          <t>Armida Salt Farm</t>
        </is>
      </c>
      <c r="B20" s="55" t="n">
        <v>38</v>
      </c>
      <c r="C20" s="14" t="n">
        <v>1505.56</v>
      </c>
      <c r="D20" s="14" t="n">
        <v>1520</v>
      </c>
      <c r="E20" s="56">
        <f>IF(C20&gt;0,C20/B20,"")</f>
        <v/>
      </c>
      <c r="F20" s="56">
        <f>IF(D20&gt;0,D20/B20,"")</f>
        <v/>
      </c>
    </row>
    <row r="21">
      <c r="A21" s="40" t="inlineStr">
        <is>
          <t>Abesamins Salt Farm</t>
        </is>
      </c>
      <c r="B21" s="55" t="n">
        <v>106</v>
      </c>
      <c r="C21" s="14" t="n">
        <v>5064.64</v>
      </c>
      <c r="D21" s="14" t="n">
        <v>4240</v>
      </c>
      <c r="E21" s="56">
        <f>IF(C21&gt;0,C21/B21,"")</f>
        <v/>
      </c>
      <c r="F21" s="56">
        <f>IF(D21&gt;0,D21/B21,"")</f>
        <v/>
      </c>
    </row>
    <row r="22">
      <c r="A22" s="40" t="inlineStr">
        <is>
          <t>Aquino Mudsalt</t>
        </is>
      </c>
      <c r="B22" s="55" t="n">
        <v>7</v>
      </c>
      <c r="C22" s="14" t="n">
        <v>476</v>
      </c>
      <c r="D22" s="14" t="n">
        <v>0</v>
      </c>
      <c r="E22" s="56">
        <f>IF(C22&gt;0,C22/B22,"")</f>
        <v/>
      </c>
      <c r="F22" s="56">
        <f>IF(D22&gt;0,D22/B22,"")</f>
        <v/>
      </c>
    </row>
    <row r="23">
      <c r="A23" s="18" t="inlineStr">
        <is>
          <t>Total</t>
        </is>
      </c>
      <c r="B23" s="57">
        <f>SUM(B18:B22)</f>
        <v/>
      </c>
      <c r="C23" s="43">
        <f>SUM(C18:C22)</f>
        <v/>
      </c>
      <c r="D23" s="43">
        <f>SUM(D18:D22)</f>
        <v/>
      </c>
    </row>
    <row r="24">
      <c r="A24" s="6" t="inlineStr">
        <is>
          <t>Active area 2025 (farms with 2025 output &gt; 0)</t>
        </is>
      </c>
      <c r="B24" s="56">
        <f>SUMIF(D18:D22,"&gt;0",B18:B22)</f>
        <v/>
      </c>
    </row>
    <row r="25">
      <c r="A25" s="2" t="inlineStr">
        <is>
          <t>Aquino Mudsalt recorded 'Stop operation (2025)' – entered as 0 MT for 2025.</t>
        </is>
      </c>
    </row>
    <row r="27">
      <c r="A27" s="23" t="inlineStr">
        <is>
          <t>San Fabian (Tiblong) – primary records from email screenshots</t>
        </is>
      </c>
    </row>
    <row r="28" ht="42" customHeight="1">
      <c r="A28" s="5" t="inlineStr">
        <is>
          <t>Year</t>
        </is>
      </c>
      <c r="B28" s="5" t="inlineStr">
        <is>
          <t>Production (MT)</t>
        </is>
      </c>
      <c r="C28" s="5" t="inlineStr">
        <is>
          <t>Production area (ha)</t>
        </is>
      </c>
      <c r="D28" s="5" t="inlineStr">
        <is>
          <t>Note</t>
        </is>
      </c>
    </row>
    <row r="29">
      <c r="A29" s="47" t="n">
        <v>2023</v>
      </c>
      <c r="B29" s="55" t="n">
        <v>84</v>
      </c>
      <c r="C29" s="45" t="n">
        <v>0.04</v>
      </c>
      <c r="D29" s="13" t="n"/>
    </row>
    <row r="30">
      <c r="A30" s="47" t="n">
        <v>2024</v>
      </c>
      <c r="B30" s="55" t="n">
        <v>103.5</v>
      </c>
      <c r="C30" s="45" t="n">
        <v>0.04</v>
      </c>
      <c r="D30" s="13" t="n"/>
    </row>
    <row r="31">
      <c r="A31" s="47" t="n">
        <v>2025</v>
      </c>
      <c r="B31" s="55" t="n">
        <v>106</v>
      </c>
      <c r="C31" s="45" t="n">
        <v>0.06</v>
      </c>
      <c r="D31" s="13" t="n"/>
    </row>
    <row r="32">
      <c r="A32" s="47" t="n">
        <v>2026</v>
      </c>
      <c r="B32" s="55" t="n"/>
      <c r="C32" s="45" t="n">
        <v>0.06</v>
      </c>
      <c r="D32" s="13" t="inlineStr">
        <is>
          <t>Ongoing data collection</t>
        </is>
      </c>
    </row>
    <row r="33">
      <c r="A33" s="2" t="inlineStr">
        <is>
          <t>Method: cooked salt / brine boiling · Season: November–May · 2 operators · email states '97 MT ave.' (mean of 2023–2025 = 97.8 MT).</t>
        </is>
      </c>
    </row>
    <row r="35">
      <c r="A35" s="23" t="inlineStr">
        <is>
          <t>San Fabian hybrid series – primary where available, FOI fills missing values</t>
        </is>
      </c>
    </row>
    <row r="36" ht="42" customHeight="1">
      <c r="A36" s="5" t="inlineStr">
        <is>
          <t>Year</t>
        </is>
      </c>
      <c r="B36" s="5" t="inlineStr">
        <is>
          <t>Primary (kg)</t>
        </is>
      </c>
      <c r="C36" s="5" t="inlineStr">
        <is>
          <t>FOI (kg)</t>
        </is>
      </c>
      <c r="D36" s="5" t="inlineStr">
        <is>
          <t>Hybrid used (kg)</t>
        </is>
      </c>
      <c r="E36" s="5" t="inlineStr">
        <is>
          <t>Basis</t>
        </is>
      </c>
      <c r="F36" s="5" t="inlineStr">
        <is>
          <t>Note</t>
        </is>
      </c>
    </row>
    <row r="37" ht="26.4" customHeight="1">
      <c r="A37" s="47" t="n">
        <v>2023</v>
      </c>
      <c r="B37" s="16">
        <f>IF(ISNUMBER(B29),B29*1000,"")</f>
        <v/>
      </c>
      <c r="C37" s="7" t="n"/>
      <c r="D37" s="29">
        <f>IF(ISNUMBER(B37),B37,IF(ISNUMBER(C37),IF(Assumptions!$B$24=2,C37*$B$42,C37),""))</f>
        <v/>
      </c>
      <c r="E37" s="6">
        <f>IF(ISNUMBER(B37),"Primary",IF(ISNUMBER(C37),IF(Assumptions!$B$24=2,"FOI scaled (fill)","FOI as reported (fill)"),"missing"))</f>
        <v/>
      </c>
      <c r="F37" s="39" t="inlineStr">
        <is>
          <t>No FOI value; primary only</t>
        </is>
      </c>
    </row>
    <row r="38" ht="26.4" customHeight="1">
      <c r="A38" s="47" t="n">
        <v>2024</v>
      </c>
      <c r="B38" s="16">
        <f>IF(ISNUMBER(B30),B30*1000,"")</f>
        <v/>
      </c>
      <c r="C38" s="7">
        <f>B10</f>
        <v/>
      </c>
      <c r="D38" s="29">
        <f>IF(ISNUMBER(B38),B38,IF(ISNUMBER(C38),IF(Assumptions!$B$24=2,C38*$B$42,C38),""))</f>
        <v/>
      </c>
      <c r="E38" s="6">
        <f>IF(ISNUMBER(B38),"Primary",IF(ISNUMBER(C38),IF(Assumptions!$B$24=2,"FOI scaled (fill)","FOI as reported (fill)"),"missing"))</f>
        <v/>
      </c>
      <c r="F38" s="39" t="inlineStr">
        <is>
          <t>Both available; primary used</t>
        </is>
      </c>
    </row>
    <row r="39" ht="26.4" customHeight="1">
      <c r="A39" s="47" t="n">
        <v>2025</v>
      </c>
      <c r="B39" s="16">
        <f>IF(ISNUMBER(B31),B31*1000,"")</f>
        <v/>
      </c>
      <c r="C39" s="7">
        <f>C10</f>
        <v/>
      </c>
      <c r="D39" s="29">
        <f>IF(ISNUMBER(B39),B39,IF(ISNUMBER(C39),IF(Assumptions!$B$24=2,C39*$B$42,C39),""))</f>
        <v/>
      </c>
      <c r="E39" s="6">
        <f>IF(ISNUMBER(B39),"Primary",IF(ISNUMBER(C39),IF(Assumptions!$B$24=2,"FOI scaled (fill)","FOI as reported (fill)"),"missing"))</f>
        <v/>
      </c>
      <c r="F39" s="39" t="inlineStr">
        <is>
          <t>Both available; primary used</t>
        </is>
      </c>
    </row>
    <row r="40" ht="66" customHeight="1">
      <c r="A40" s="47" t="n">
        <v>2026</v>
      </c>
      <c r="B40" s="16">
        <f>IF(ISNUMBER(B32),B32*1000,"")</f>
        <v/>
      </c>
      <c r="C40" s="7">
        <f>D10</f>
        <v/>
      </c>
      <c r="D40" s="29">
        <f>IF(ISNUMBER(B40),B40,IF(ISNUMBER(C40),IF(Assumptions!$B$24=2,C40*$B$42,C40),""))</f>
        <v/>
      </c>
      <c r="E40" s="6">
        <f>IF(ISNUMBER(B40),"Primary",IF(ISNUMBER(C40),IF(Assumptions!$B$24=2,"FOI scaled (fill)","FOI as reported (fill)"),"missing"))</f>
        <v/>
      </c>
      <c r="F40" s="39" t="inlineStr">
        <is>
          <t>Primary 'ongoing data collection'; FOI fills, provisional (partial year)</t>
        </is>
      </c>
    </row>
    <row r="42">
      <c r="A42" s="6" t="inlineStr">
        <is>
          <t>Primary ÷ FOI, overlapping years 2024–2025 (ratio of sums)</t>
        </is>
      </c>
      <c r="B42" s="58">
        <f>(B38+B39)/(C38+C39)</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24"/>
  <sheetViews>
    <sheetView showGridLines="0" workbookViewId="0">
      <selection activeCell="A11" sqref="A11:N11"/>
    </sheetView>
  </sheetViews>
  <sheetFormatPr baseColWidth="8" defaultColWidth="8.675925925925929" defaultRowHeight="14.4"/>
  <cols>
    <col width="44" customWidth="1" min="1" max="1"/>
    <col width="18" customWidth="1" min="2" max="2"/>
    <col width="16" customWidth="1" min="3" max="8"/>
    <col width="14" customWidth="1" min="9" max="10"/>
    <col width="12" customWidth="1" min="11" max="11"/>
    <col width="14" customWidth="1" min="12" max="12"/>
    <col width="20" customWidth="1" min="13" max="13"/>
    <col width="52" customWidth="1" min="14" max="14"/>
  </cols>
  <sheetData>
    <row r="1" ht="17.4" customHeight="1">
      <c r="A1" s="1" t="inlineStr">
        <is>
          <t>Estimated number of salt beds per municipality</t>
        </is>
      </c>
    </row>
    <row r="2">
      <c r="A2" s="2" t="inlineStr">
        <is>
          <t>N = annual production ÷ x. Alaminos City is the surveyed count (observed), all others are estimates.</t>
        </is>
      </c>
    </row>
    <row r="4">
      <c r="A4" s="6" t="inlineStr">
        <is>
          <t>x used (kg/bed/yr)</t>
        </is>
      </c>
      <c r="B4" s="10">
        <f>Assumptions!B7</f>
        <v/>
      </c>
    </row>
    <row r="5">
      <c r="A5" s="6" t="inlineStr">
        <is>
          <t>x 2025</t>
        </is>
      </c>
      <c r="B5" s="10">
        <f>Alaminos_Beds!B9</f>
        <v/>
      </c>
    </row>
    <row r="6">
      <c r="A6" s="6" t="inlineStr">
        <is>
          <t>x 2026 (provisional)</t>
        </is>
      </c>
      <c r="B6" s="10">
        <f>Alaminos_Beds!B10</f>
        <v/>
      </c>
    </row>
    <row r="7">
      <c r="A7" s="6" t="inlineStr">
        <is>
          <t>x legacy (handwritten)</t>
        </is>
      </c>
      <c r="B7" s="10">
        <f>Alaminos_Beds!B12</f>
        <v/>
      </c>
    </row>
    <row r="8">
      <c r="A8" s="6" t="inlineStr">
        <is>
          <t>Average bed area (m²)</t>
        </is>
      </c>
      <c r="B8" s="17">
        <f>Alaminos_Beds!B6</f>
        <v/>
      </c>
    </row>
    <row r="11" ht="42" customHeight="1">
      <c r="A11" s="5" t="inlineStr">
        <is>
          <t>Municipality</t>
        </is>
      </c>
      <c r="B11" s="5" t="inlineStr">
        <is>
          <t>Annual production used 2025 (kg)</t>
        </is>
      </c>
      <c r="C11" s="5" t="inlineStr">
        <is>
          <t>Source</t>
        </is>
      </c>
      <c r="D11" s="5" t="inlineStr">
        <is>
          <t>Estimated salt beds 2025 (base)</t>
        </is>
      </c>
      <c r="E11" s="5" t="inlineStr">
        <is>
          <t>Low (x = higher of 2025/2026)</t>
        </is>
      </c>
      <c r="F11" s="5" t="inlineStr">
        <is>
          <t>High (x = lower of 2025/2026)</t>
        </is>
      </c>
      <c r="G11" s="5" t="inlineStr">
        <is>
          <t>Beds if legacy x = 310.61</t>
        </is>
      </c>
      <c r="H11" s="5" t="inlineStr">
        <is>
          <t>Beds implied by 2024 production</t>
        </is>
      </c>
      <c r="I11" s="5" t="inlineStr">
        <is>
          <t>Reported production area (ha)</t>
        </is>
      </c>
      <c r="J11" s="5" t="inlineStr">
        <is>
          <t>Implied bed area (ha)</t>
        </is>
      </c>
      <c r="K11" s="5" t="inlineStr">
        <is>
          <t>Implied ÷ reported</t>
        </is>
      </c>
      <c r="L11" s="5" t="inlineStr">
        <is>
          <t>Area-based bed count</t>
        </is>
      </c>
      <c r="M11" s="5" t="inlineStr">
        <is>
          <t>Area check</t>
        </is>
      </c>
      <c r="N11" s="5" t="inlineStr">
        <is>
          <t>Confidence</t>
        </is>
      </c>
    </row>
    <row r="12">
      <c r="A12" s="18" t="inlineStr">
        <is>
          <t>Alaminos City</t>
        </is>
      </c>
      <c r="B12" s="7">
        <f>Annual_Production!M4</f>
        <v/>
      </c>
      <c r="C12" s="11">
        <f>Annual_Production!J4</f>
        <v/>
      </c>
      <c r="D12" s="7">
        <f>Alaminos_Beds!B4</f>
        <v/>
      </c>
      <c r="E12" s="7">
        <f>Alaminos_Beds!B4</f>
        <v/>
      </c>
      <c r="F12" s="7">
        <f>Alaminos_Beds!B4</f>
        <v/>
      </c>
      <c r="G12" s="7">
        <f>Assumptions!B9</f>
        <v/>
      </c>
      <c r="H12" s="16">
        <f>Annual_Production!L4/$B$4</f>
        <v/>
      </c>
      <c r="I12" s="17">
        <f>Alaminos_Beds!B5</f>
        <v/>
      </c>
      <c r="J12" s="9">
        <f>D12*$B$8/10000</f>
        <v/>
      </c>
      <c r="K12" s="9">
        <f>J12/I12</f>
        <v/>
      </c>
      <c r="L12" s="16">
        <f>I12*10000/$B$8</f>
        <v/>
      </c>
      <c r="M12" s="6">
        <f>IF(K12&lt;=1.05,"Consistent","Exceeds reported area")</f>
        <v/>
      </c>
      <c r="N12" s="39" t="inlineStr">
        <is>
          <t>High: beds observed; output primary, within 3% of FOI</t>
        </is>
      </c>
    </row>
    <row r="13">
      <c r="A13" s="18" t="inlineStr">
        <is>
          <t>Anda</t>
        </is>
      </c>
      <c r="B13" s="7">
        <f>Annual_Production!M5</f>
        <v/>
      </c>
      <c r="C13" s="11">
        <f>Annual_Production!J5</f>
        <v/>
      </c>
      <c r="D13" s="16">
        <f>B13/$B$4</f>
        <v/>
      </c>
      <c r="E13" s="16">
        <f>B13/MAX($B$5,$B$6)</f>
        <v/>
      </c>
      <c r="F13" s="16">
        <f>B13/MIN($B$5,$B$6)</f>
        <v/>
      </c>
      <c r="G13" s="16">
        <f>B13/$B$7</f>
        <v/>
      </c>
      <c r="H13" s="16">
        <f>Annual_Production!L5/$B$4</f>
        <v/>
      </c>
      <c r="I13" s="13" t="inlineStr">
        <is>
          <t>n/a</t>
        </is>
      </c>
      <c r="J13" s="9">
        <f>D13*$B$8/10000</f>
        <v/>
      </c>
      <c r="K13" s="13" t="inlineStr">
        <is>
          <t>n/a</t>
        </is>
      </c>
      <c r="L13" s="13" t="inlineStr">
        <is>
          <t>n/a</t>
        </is>
      </c>
      <c r="M13" s="13" t="inlineStr">
        <is>
          <t>n/a</t>
        </is>
      </c>
      <c r="N13" s="39" t="inlineStr">
        <is>
          <t>Low–Medium: FOI only, coverage unverified</t>
        </is>
      </c>
    </row>
    <row r="14" ht="26.4" customHeight="1">
      <c r="A14" s="18" t="inlineStr">
        <is>
          <t>Bani</t>
        </is>
      </c>
      <c r="B14" s="7">
        <f>Annual_Production!M6</f>
        <v/>
      </c>
      <c r="C14" s="11">
        <f>Annual_Production!J6</f>
        <v/>
      </c>
      <c r="D14" s="16">
        <f>B14/$B$4</f>
        <v/>
      </c>
      <c r="E14" s="16">
        <f>B14/MAX($B$5,$B$6)</f>
        <v/>
      </c>
      <c r="F14" s="16">
        <f>B14/MIN($B$5,$B$6)</f>
        <v/>
      </c>
      <c r="G14" s="16">
        <f>B14/$B$7</f>
        <v/>
      </c>
      <c r="H14" s="16">
        <f>Annual_Production!L6/$B$4</f>
        <v/>
      </c>
      <c r="I14" s="17">
        <f>Annual_Production!B24</f>
        <v/>
      </c>
      <c r="J14" s="9">
        <f>D14*$B$8/10000</f>
        <v/>
      </c>
      <c r="K14" s="9">
        <f>J14/I14</f>
        <v/>
      </c>
      <c r="L14" s="16">
        <f>I14*10000/$B$8</f>
        <v/>
      </c>
      <c r="M14" s="6">
        <f>IF(K14&lt;=1.05,"Consistent","Exceeds reported area")</f>
        <v/>
      </c>
      <c r="N14" s="39" t="inlineStr">
        <is>
          <t>Low–Medium: FOI basis; master sheet reports ~13× more (selector B11)</t>
        </is>
      </c>
    </row>
    <row r="15">
      <c r="A15" s="18" t="inlineStr">
        <is>
          <t>Bolinao</t>
        </is>
      </c>
      <c r="B15" s="7">
        <f>Annual_Production!M7</f>
        <v/>
      </c>
      <c r="C15" s="11">
        <f>Annual_Production!J7</f>
        <v/>
      </c>
      <c r="D15" s="16">
        <f>B15/$B$4</f>
        <v/>
      </c>
      <c r="E15" s="16">
        <f>B15/MAX($B$5,$B$6)</f>
        <v/>
      </c>
      <c r="F15" s="16">
        <f>B15/MIN($B$5,$B$6)</f>
        <v/>
      </c>
      <c r="G15" s="16">
        <f>B15/$B$7</f>
        <v/>
      </c>
      <c r="H15" s="16">
        <f>Annual_Production!L7/$B$4</f>
        <v/>
      </c>
      <c r="I15" s="13" t="inlineStr">
        <is>
          <t>n/a</t>
        </is>
      </c>
      <c r="J15" s="9">
        <f>D15*$B$8/10000</f>
        <v/>
      </c>
      <c r="K15" s="13" t="inlineStr">
        <is>
          <t>n/a</t>
        </is>
      </c>
      <c r="L15" s="13" t="inlineStr">
        <is>
          <t>n/a</t>
        </is>
      </c>
      <c r="M15" s="13" t="inlineStr">
        <is>
          <t>n/a</t>
        </is>
      </c>
      <c r="N15" s="39" t="inlineStr">
        <is>
          <t>Low–Medium: FOI only, coverage unverified</t>
        </is>
      </c>
    </row>
    <row r="16">
      <c r="A16" s="18" t="inlineStr">
        <is>
          <t>Dasol</t>
        </is>
      </c>
      <c r="B16" s="7">
        <f>Annual_Production!M8</f>
        <v/>
      </c>
      <c r="C16" s="11">
        <f>Annual_Production!J8</f>
        <v/>
      </c>
      <c r="D16" s="16">
        <f>B16/$B$4</f>
        <v/>
      </c>
      <c r="E16" s="16">
        <f>B16/MAX($B$5,$B$6)</f>
        <v/>
      </c>
      <c r="F16" s="16">
        <f>B16/MIN($B$5,$B$6)</f>
        <v/>
      </c>
      <c r="G16" s="16">
        <f>B16/$B$7</f>
        <v/>
      </c>
      <c r="H16" s="16">
        <f>Annual_Production!L8/$B$4</f>
        <v/>
      </c>
      <c r="I16" s="13" t="inlineStr">
        <is>
          <t>n/a</t>
        </is>
      </c>
      <c r="J16" s="9">
        <f>D16*$B$8/10000</f>
        <v/>
      </c>
      <c r="K16" s="13" t="inlineStr">
        <is>
          <t>n/a</t>
        </is>
      </c>
      <c r="L16" s="13" t="inlineStr">
        <is>
          <t>n/a</t>
        </is>
      </c>
      <c r="M16" s="13" t="inlineStr">
        <is>
          <t>n/a</t>
        </is>
      </c>
      <c r="N16" s="39" t="inlineStr">
        <is>
          <t>Low: FOI ≈ 3% of OPAg 2021; larger banigan reported</t>
        </is>
      </c>
    </row>
    <row r="17">
      <c r="A17" s="18" t="inlineStr">
        <is>
          <t>Infanta</t>
        </is>
      </c>
      <c r="B17" s="7">
        <f>Annual_Production!M9</f>
        <v/>
      </c>
      <c r="C17" s="11">
        <f>Annual_Production!J9</f>
        <v/>
      </c>
      <c r="D17" s="16">
        <f>B17/$B$4</f>
        <v/>
      </c>
      <c r="E17" s="16">
        <f>B17/MAX($B$5,$B$6)</f>
        <v/>
      </c>
      <c r="F17" s="16">
        <f>B17/MIN($B$5,$B$6)</f>
        <v/>
      </c>
      <c r="G17" s="16">
        <f>B17/$B$7</f>
        <v/>
      </c>
      <c r="H17" s="16">
        <f>Annual_Production!L9/$B$4</f>
        <v/>
      </c>
      <c r="I17" s="13" t="inlineStr">
        <is>
          <t>n/a</t>
        </is>
      </c>
      <c r="J17" s="9">
        <f>D17*$B$8/10000</f>
        <v/>
      </c>
      <c r="K17" s="13" t="inlineStr">
        <is>
          <t>n/a</t>
        </is>
      </c>
      <c r="L17" s="13" t="inlineStr">
        <is>
          <t>n/a</t>
        </is>
      </c>
      <c r="M17" s="13" t="inlineStr">
        <is>
          <t>n/a</t>
        </is>
      </c>
      <c r="N17" s="39" t="inlineStr">
        <is>
          <t>Low–Medium: FOI only</t>
        </is>
      </c>
    </row>
    <row r="18">
      <c r="A18" s="18" t="inlineStr">
        <is>
          <t>San Fabian</t>
        </is>
      </c>
      <c r="B18" s="7">
        <f>Annual_Production!M10</f>
        <v/>
      </c>
      <c r="C18" s="11">
        <f>Annual_Production!J10</f>
        <v/>
      </c>
      <c r="D18" s="16">
        <f>B18/$B$4</f>
        <v/>
      </c>
      <c r="E18" s="16">
        <f>B18/MAX($B$5,$B$6)</f>
        <v/>
      </c>
      <c r="F18" s="16">
        <f>B18/MIN($B$5,$B$6)</f>
        <v/>
      </c>
      <c r="G18" s="16">
        <f>B18/$B$7</f>
        <v/>
      </c>
      <c r="H18" s="16">
        <f>Annual_Production!L10/$B$4</f>
        <v/>
      </c>
      <c r="I18" s="17">
        <f>Annual_Production!C31</f>
        <v/>
      </c>
      <c r="J18" s="9">
        <f>D18*$B$8/10000</f>
        <v/>
      </c>
      <c r="K18" s="9">
        <f>J18/I18</f>
        <v/>
      </c>
      <c r="L18" s="16">
        <f>I18*10000/$B$8</f>
        <v/>
      </c>
      <c r="M18" s="6" t="inlineStr">
        <is>
          <t>n/a – cooked salt is not area-bound</t>
        </is>
      </c>
      <c r="N18" s="39" t="inlineStr">
        <is>
          <t>Annual: High · bed count: Low (cooked salt, 'bed-equivalent')</t>
        </is>
      </c>
    </row>
    <row r="19">
      <c r="A19" s="18" t="inlineStr">
        <is>
          <t>Total</t>
        </is>
      </c>
      <c r="B19" s="29">
        <f>SUM(B12:B18)</f>
        <v/>
      </c>
      <c r="D19" s="29">
        <f>SUM(D12:D18)</f>
        <v/>
      </c>
      <c r="E19" s="29">
        <f>SUM(E12:E18)</f>
        <v/>
      </c>
      <c r="F19" s="29">
        <f>SUM(F12:F18)</f>
        <v/>
      </c>
      <c r="G19" s="29">
        <f>SUM(G12:G18)</f>
        <v/>
      </c>
      <c r="H19" s="29">
        <f>SUM(H12:H18)</f>
        <v/>
      </c>
      <c r="J19" s="19">
        <f>SUM(J12:J18)</f>
        <v/>
      </c>
    </row>
    <row r="21">
      <c r="A21" s="2" t="inlineStr">
        <is>
          <t>San Fabian beds are 'bed-equivalents': cooked (brine-boiling) salt is not area-bound, and 734 solar-size beds would need ≈2.6 ha against 0.06 ha reported. Use the area-based count (≈17) only if a literal bed count is needed.</t>
        </is>
      </c>
    </row>
    <row r="22">
      <c r="A22" s="2" t="inlineStr">
        <is>
          <t>Bani on the FOI basis implies only ≈7% of its reported 204 ha as bed surface; on the primary basis (Assumptions!B11 = 2) it implies ≈98%, but that output is itself 40 t/ha × area (circular).</t>
        </is>
      </c>
    </row>
    <row r="23">
      <c r="A23" s="2" t="inlineStr">
        <is>
          <t>Column H applies x to 2024 production; for Alaminos it gives 3,092 vs 7,410 surveyed. FOI 2024 covers assisted associations only, so 2024 bed counts are under-estimates.</t>
        </is>
      </c>
    </row>
    <row r="24">
      <c r="A24" s="2" t="inlineStr">
        <is>
          <t>Alaminos annual production from the primary master-sheet rates (Assumptions!B23 = 2) is within 3% of FOI, so x calibrated on FOI (144.36) and on primary (Assumptions!B26, 148.35) agree (Testing T10).</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21"/>
  <sheetViews>
    <sheetView showGridLines="0" topLeftCell="A7" workbookViewId="0">
      <selection activeCell="G14" sqref="G14"/>
    </sheetView>
  </sheetViews>
  <sheetFormatPr baseColWidth="8" defaultColWidth="8.675925925925929" defaultRowHeight="14.4"/>
  <cols>
    <col width="46" customWidth="1" min="1" max="1"/>
    <col width="16" customWidth="1" min="2" max="3"/>
    <col width="14" customWidth="1" min="4" max="4"/>
    <col width="11" customWidth="1" min="5" max="13"/>
    <col width="14" customWidth="1" min="14" max="14"/>
  </cols>
  <sheetData>
    <row r="1" ht="17.4" customHeight="1">
      <c r="A1" s="1" t="inlineStr">
        <is>
          <t>Seasonal profile of provincial production</t>
        </is>
      </c>
    </row>
    <row r="2">
      <c r="A2" s="2" t="inlineStr">
        <is>
          <t>Source: FOI RS3969 (2024, assisted associations only) and RS4760 (2025, assisted + non-assisted). 2023 has Jul–Dec only and is not used.</t>
        </is>
      </c>
    </row>
    <row r="3" ht="42" customHeight="1">
      <c r="A3" s="5" t="inlineStr">
        <is>
          <t>Series</t>
        </is>
      </c>
      <c r="B3" s="5" t="inlineStr">
        <is>
          <t>Jan</t>
        </is>
      </c>
      <c r="C3" s="5" t="inlineStr">
        <is>
          <t>Feb</t>
        </is>
      </c>
      <c r="D3" s="5" t="inlineStr">
        <is>
          <t>Mar</t>
        </is>
      </c>
      <c r="E3" s="5" t="inlineStr">
        <is>
          <t>Apr</t>
        </is>
      </c>
      <c r="F3" s="5" t="inlineStr">
        <is>
          <t>May</t>
        </is>
      </c>
      <c r="G3" s="5" t="inlineStr">
        <is>
          <t>Jun</t>
        </is>
      </c>
      <c r="H3" s="5" t="inlineStr">
        <is>
          <t>Jul</t>
        </is>
      </c>
      <c r="I3" s="5" t="inlineStr">
        <is>
          <t>Aug</t>
        </is>
      </c>
      <c r="J3" s="5" t="inlineStr">
        <is>
          <t>Sep</t>
        </is>
      </c>
      <c r="K3" s="5" t="inlineStr">
        <is>
          <t>Oct</t>
        </is>
      </c>
      <c r="L3" s="5" t="inlineStr">
        <is>
          <t>Nov</t>
        </is>
      </c>
      <c r="M3" s="5" t="inlineStr">
        <is>
          <t>Dec</t>
        </is>
      </c>
      <c r="N3" s="5" t="inlineStr">
        <is>
          <t>Total</t>
        </is>
      </c>
    </row>
    <row r="4">
      <c r="A4" s="6" t="inlineStr">
        <is>
          <t>Provincial monthly volume 2024 (kg)</t>
        </is>
      </c>
      <c r="B4" s="15" t="n">
        <v>222196</v>
      </c>
      <c r="C4" s="15" t="n">
        <v>42396</v>
      </c>
      <c r="D4" s="15" t="n">
        <v>392226</v>
      </c>
      <c r="E4" s="15" t="n">
        <v>579850</v>
      </c>
      <c r="F4" s="15" t="n">
        <v>700550</v>
      </c>
      <c r="G4" s="15" t="n">
        <v>255650</v>
      </c>
      <c r="H4" s="15" t="n">
        <v>28600</v>
      </c>
      <c r="I4" s="15" t="n">
        <v>28950</v>
      </c>
      <c r="J4" s="15" t="n">
        <v>29250</v>
      </c>
      <c r="K4" s="15" t="n">
        <v>25300</v>
      </c>
      <c r="L4" s="15" t="n">
        <v>25050</v>
      </c>
      <c r="M4" s="15" t="n">
        <v>24700</v>
      </c>
      <c r="N4" s="29">
        <f>SUM(B4:M4)</f>
        <v/>
      </c>
    </row>
    <row r="5">
      <c r="A5" s="6" t="inlineStr">
        <is>
          <t>Provincial monthly volume 2025 (kg)</t>
        </is>
      </c>
      <c r="B5" s="15" t="n">
        <v>24550</v>
      </c>
      <c r="C5" s="15" t="n">
        <v>62132</v>
      </c>
      <c r="D5" s="15" t="n">
        <v>536165</v>
      </c>
      <c r="E5" s="15" t="n">
        <v>3740899</v>
      </c>
      <c r="F5" s="15" t="n">
        <v>2853521</v>
      </c>
      <c r="G5" s="15" t="n">
        <v>1425330</v>
      </c>
      <c r="H5" s="15" t="n">
        <v>399657</v>
      </c>
      <c r="I5" s="15" t="n">
        <v>94240</v>
      </c>
      <c r="J5" s="15" t="n">
        <v>164851</v>
      </c>
      <c r="K5" s="15" t="n">
        <v>190790</v>
      </c>
      <c r="L5" s="15" t="n">
        <v>230615</v>
      </c>
      <c r="M5" s="15" t="n">
        <v>304453</v>
      </c>
      <c r="N5" s="29">
        <f>SUM(B5:M5)</f>
        <v/>
      </c>
    </row>
    <row r="7">
      <c r="A7" s="23" t="inlineStr">
        <is>
          <t>Monthly share of annual total</t>
        </is>
      </c>
    </row>
    <row r="8">
      <c r="A8" s="6" t="inlineStr">
        <is>
          <t>Observed share 2024</t>
        </is>
      </c>
      <c r="B8" s="35">
        <f>B4/$N4</f>
        <v/>
      </c>
      <c r="C8" s="35">
        <f>C4/$N4</f>
        <v/>
      </c>
      <c r="D8" s="35">
        <f>D4/$N4</f>
        <v/>
      </c>
      <c r="E8" s="35">
        <f>E4/$N4</f>
        <v/>
      </c>
      <c r="F8" s="35">
        <f>F4/$N4</f>
        <v/>
      </c>
      <c r="G8" s="35">
        <f>G4/$N4</f>
        <v/>
      </c>
      <c r="H8" s="35">
        <f>H4/$N4</f>
        <v/>
      </c>
      <c r="I8" s="35">
        <f>I4/$N4</f>
        <v/>
      </c>
      <c r="J8" s="35">
        <f>J4/$N4</f>
        <v/>
      </c>
      <c r="K8" s="35">
        <f>K4/$N4</f>
        <v/>
      </c>
      <c r="L8" s="35">
        <f>L4/$N4</f>
        <v/>
      </c>
      <c r="M8" s="35">
        <f>M4/$N4</f>
        <v/>
      </c>
      <c r="N8" s="36">
        <f>SUM(B8:M8)</f>
        <v/>
      </c>
    </row>
    <row r="9">
      <c r="A9" s="6" t="inlineStr">
        <is>
          <t>Observed share 2025</t>
        </is>
      </c>
      <c r="B9" s="35">
        <f>B5/$N5</f>
        <v/>
      </c>
      <c r="C9" s="35">
        <f>C5/$N5</f>
        <v/>
      </c>
      <c r="D9" s="35">
        <f>D5/$N5</f>
        <v/>
      </c>
      <c r="E9" s="35">
        <f>E5/$N5</f>
        <v/>
      </c>
      <c r="F9" s="35">
        <f>F5/$N5</f>
        <v/>
      </c>
      <c r="G9" s="35">
        <f>G5/$N5</f>
        <v/>
      </c>
      <c r="H9" s="35">
        <f>H5/$N5</f>
        <v/>
      </c>
      <c r="I9" s="35">
        <f>I5/$N5</f>
        <v/>
      </c>
      <c r="J9" s="35">
        <f>J5/$N5</f>
        <v/>
      </c>
      <c r="K9" s="35">
        <f>K5/$N5</f>
        <v/>
      </c>
      <c r="L9" s="35">
        <f>L5/$N5</f>
        <v/>
      </c>
      <c r="M9" s="35">
        <f>M5/$N5</f>
        <v/>
      </c>
      <c r="N9" s="36">
        <f>SUM(B9:M9)</f>
        <v/>
      </c>
    </row>
    <row r="10">
      <c r="A10" s="6" t="inlineStr">
        <is>
          <t>Pooled share (mean of 2024 and 2025)</t>
        </is>
      </c>
      <c r="B10" s="35">
        <f>AVERAGE(B8,B9)</f>
        <v/>
      </c>
      <c r="C10" s="35">
        <f>AVERAGE(C8,C9)</f>
        <v/>
      </c>
      <c r="D10" s="35">
        <f>AVERAGE(D8,D9)</f>
        <v/>
      </c>
      <c r="E10" s="35">
        <f>AVERAGE(E8,E9)</f>
        <v/>
      </c>
      <c r="F10" s="35">
        <f>AVERAGE(F8,F9)</f>
        <v/>
      </c>
      <c r="G10" s="35">
        <f>AVERAGE(G8,G9)</f>
        <v/>
      </c>
      <c r="H10" s="35">
        <f>AVERAGE(H8,H9)</f>
        <v/>
      </c>
      <c r="I10" s="35">
        <f>AVERAGE(I8,I9)</f>
        <v/>
      </c>
      <c r="J10" s="35">
        <f>AVERAGE(J8,J9)</f>
        <v/>
      </c>
      <c r="K10" s="35">
        <f>AVERAGE(K8,K9)</f>
        <v/>
      </c>
      <c r="L10" s="35">
        <f>AVERAGE(L8,L9)</f>
        <v/>
      </c>
      <c r="M10" s="35">
        <f>AVERAGE(M8,M9)</f>
        <v/>
      </c>
      <c r="N10" s="36">
        <f>SUM(B10:M10)</f>
        <v/>
      </c>
    </row>
    <row r="11">
      <c r="A11" s="6" t="inlineStr">
        <is>
          <t>Linear arithmetic (a1 + (j−1)·d)</t>
        </is>
      </c>
      <c r="B11" s="35">
        <f>$B$14+0*$B$15</f>
        <v/>
      </c>
      <c r="C11" s="35">
        <f>$B$14+1*$B$15</f>
        <v/>
      </c>
      <c r="D11" s="35">
        <f>$B$14+2*$B$15</f>
        <v/>
      </c>
      <c r="E11" s="35">
        <f>$B$14+3*$B$15</f>
        <v/>
      </c>
      <c r="F11" s="35">
        <f>$B$14+4*$B$15</f>
        <v/>
      </c>
      <c r="G11" s="35">
        <f>$B$14+5*$B$15</f>
        <v/>
      </c>
      <c r="H11" s="35">
        <f>$B$14+6*$B$15</f>
        <v/>
      </c>
      <c r="I11" s="35">
        <f>$B$14+7*$B$15</f>
        <v/>
      </c>
      <c r="J11" s="35">
        <f>$B$14+8*$B$15</f>
        <v/>
      </c>
      <c r="K11" s="35">
        <f>$B$14+9*$B$15</f>
        <v/>
      </c>
      <c r="L11" s="35">
        <f>$B$14+10*$B$15</f>
        <v/>
      </c>
      <c r="M11" s="35">
        <f>$B$14+11*$B$15</f>
        <v/>
      </c>
      <c r="N11" s="36">
        <f>SUM(B11:M11)</f>
        <v/>
      </c>
    </row>
    <row r="12">
      <c r="A12" s="6" t="inlineStr">
        <is>
          <t>Uniform (1/12)</t>
        </is>
      </c>
      <c r="B12" s="35">
        <f>1/12</f>
        <v/>
      </c>
      <c r="C12" s="35">
        <f>1/12</f>
        <v/>
      </c>
      <c r="D12" s="35">
        <f>1/12</f>
        <v/>
      </c>
      <c r="E12" s="35">
        <f>1/12</f>
        <v/>
      </c>
      <c r="F12" s="35">
        <f>1/12</f>
        <v/>
      </c>
      <c r="G12" s="35">
        <f>1/12</f>
        <v/>
      </c>
      <c r="H12" s="35">
        <f>1/12</f>
        <v/>
      </c>
      <c r="I12" s="35">
        <f>1/12</f>
        <v/>
      </c>
      <c r="J12" s="35">
        <f>1/12</f>
        <v/>
      </c>
      <c r="K12" s="35">
        <f>1/12</f>
        <v/>
      </c>
      <c r="L12" s="35">
        <f>1/12</f>
        <v/>
      </c>
      <c r="M12" s="35">
        <f>1/12</f>
        <v/>
      </c>
      <c r="N12" s="36">
        <f>SUM(B12:M12)</f>
        <v/>
      </c>
    </row>
    <row r="14">
      <c r="A14" s="6" t="inlineStr">
        <is>
          <t>a1 (first-month share)</t>
        </is>
      </c>
      <c r="B14" s="59">
        <f>Assumptions!B6</f>
        <v/>
      </c>
    </row>
    <row r="15">
      <c r="A15" s="6" t="inlineStr">
        <is>
          <t>d = (1 − 12·a1) ÷ 66 (common difference)</t>
        </is>
      </c>
      <c r="B15" s="60">
        <f>(1-12*B14)/66</f>
        <v/>
      </c>
    </row>
    <row r="17">
      <c r="A17" s="23" t="inlineStr">
        <is>
          <t>Reconciliation of monthly vs municipal totals</t>
        </is>
      </c>
    </row>
    <row r="18" ht="42" customHeight="1">
      <c r="A18" s="5" t="inlineStr">
        <is>
          <t>Year</t>
        </is>
      </c>
      <c r="B18" s="5" t="inlineStr">
        <is>
          <t>Sum of monthly series (kg)</t>
        </is>
      </c>
      <c r="C18" s="5" t="inlineStr">
        <is>
          <t>Sum of municipal table (kg)</t>
        </is>
      </c>
      <c r="D18" s="5" t="inlineStr">
        <is>
          <t>Difference (kg)</t>
        </is>
      </c>
      <c r="E18" s="5" t="inlineStr">
        <is>
          <t>Difference (%)</t>
        </is>
      </c>
    </row>
    <row r="19">
      <c r="A19" s="6" t="n">
        <v>2024</v>
      </c>
      <c r="B19" s="16">
        <f>N4</f>
        <v/>
      </c>
      <c r="C19" s="7">
        <f>Annual_Production!B11</f>
        <v/>
      </c>
      <c r="D19" s="16">
        <f>B19-C19</f>
        <v/>
      </c>
      <c r="E19" s="61">
        <f>D19/C19</f>
        <v/>
      </c>
    </row>
    <row r="20">
      <c r="A20" s="6" t="n">
        <v>2025</v>
      </c>
      <c r="B20" s="16">
        <f>N5</f>
        <v/>
      </c>
      <c r="C20" s="7">
        <f>Annual_Production!C11</f>
        <v/>
      </c>
      <c r="D20" s="16">
        <f>B20-C20</f>
        <v/>
      </c>
      <c r="E20" s="61">
        <f>D20/C20</f>
        <v/>
      </c>
    </row>
    <row r="21">
      <c r="A21" s="2" t="inlineStr">
        <is>
          <t>2024: the monthly file says 'assisted only' yet exceeds the municipal table that says 'assisted and non-assisted' – the notes on the two FOI files appear swapped or inconsistent.</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P17"/>
  <sheetViews>
    <sheetView showGridLines="0" workbookViewId="0">
      <selection activeCell="A3" sqref="A3:P3"/>
    </sheetView>
  </sheetViews>
  <sheetFormatPr baseColWidth="8" defaultColWidth="8.675925925925929" defaultRowHeight="14.4"/>
  <cols>
    <col width="18" customWidth="1" min="1" max="1"/>
    <col width="8" customWidth="1" min="2" max="2"/>
    <col width="11" customWidth="1" min="3" max="3"/>
    <col width="9" customWidth="1" min="4" max="15"/>
    <col width="10" customWidth="1" min="16" max="16"/>
  </cols>
  <sheetData>
    <row r="1" ht="17.4" customHeight="1">
      <c r="A1" s="1" t="inlineStr">
        <is>
          <t>Monthly share applied to each municipality-year</t>
        </is>
      </c>
    </row>
    <row r="2">
      <c r="A2" s="2" t="inlineStr">
        <is>
          <t>Selected by Assumptions!B5. Windowed municipalities (flag = 1) split evenly across their primary-stated production months.</t>
        </is>
      </c>
    </row>
    <row r="3" ht="42" customHeight="1">
      <c r="A3" s="5" t="inlineStr">
        <is>
          <t>Municipality</t>
        </is>
      </c>
      <c r="B3" s="5" t="inlineStr">
        <is>
          <t>Year</t>
        </is>
      </c>
      <c r="C3" s="5" t="inlineStr">
        <is>
          <t>Use window</t>
        </is>
      </c>
      <c r="D3" s="5" t="inlineStr">
        <is>
          <t>Jan</t>
        </is>
      </c>
      <c r="E3" s="5" t="inlineStr">
        <is>
          <t>Feb</t>
        </is>
      </c>
      <c r="F3" s="5" t="inlineStr">
        <is>
          <t>Mar</t>
        </is>
      </c>
      <c r="G3" s="5" t="inlineStr">
        <is>
          <t>Apr</t>
        </is>
      </c>
      <c r="H3" s="5" t="inlineStr">
        <is>
          <t>May</t>
        </is>
      </c>
      <c r="I3" s="5" t="inlineStr">
        <is>
          <t>Jun</t>
        </is>
      </c>
      <c r="J3" s="5" t="inlineStr">
        <is>
          <t>Jul</t>
        </is>
      </c>
      <c r="K3" s="5" t="inlineStr">
        <is>
          <t>Aug</t>
        </is>
      </c>
      <c r="L3" s="5" t="inlineStr">
        <is>
          <t>Sep</t>
        </is>
      </c>
      <c r="M3" s="5" t="inlineStr">
        <is>
          <t>Oct</t>
        </is>
      </c>
      <c r="N3" s="5" t="inlineStr">
        <is>
          <t>Nov</t>
        </is>
      </c>
      <c r="O3" s="5" t="inlineStr">
        <is>
          <t>Dec</t>
        </is>
      </c>
      <c r="P3" s="5" t="inlineStr">
        <is>
          <t>Sum</t>
        </is>
      </c>
    </row>
    <row r="4">
      <c r="A4" s="6" t="inlineStr">
        <is>
          <t>Alaminos City</t>
        </is>
      </c>
      <c r="B4" s="6" t="n">
        <v>2024</v>
      </c>
      <c r="C4" s="11">
        <f>Assumptions!C13</f>
        <v/>
      </c>
      <c r="D4" s="35">
        <f>IF(SUM(Monthly_Override!$C4:$N4)&gt;0,Monthly_Override!C4/SUM(Monthly_Override!$C4:$N4),IF(Assumptions!$B$5=3,Seasonal_Profile!B$11,IF($C4=1,IF(Assumptions!$B$10=2,Assumptions!D$13*IF(Assumptions!$B$5=1,Seasonal_Profile!B$8,Seasonal_Profile!B$10)/IF(Assumptions!$B$5=1,SUMPRODUCT(Assumptions!$D$13:$O$13,Seasonal_Profile!$B$8:$M$8),SUMPRODUCT(Assumptions!$D$13:$O$13,Seasonal_Profile!$B$10:$M$10)),Assumptions!D$13/SUM(Assumptions!$D$13:$O$13)),IF(Assumptions!$B$5=1,Seasonal_Profile!B$8,Seasonal_Profile!B$10))))</f>
        <v/>
      </c>
      <c r="E4" s="35">
        <f>IF(SUM(Monthly_Override!$C4:$N4)&gt;0,Monthly_Override!D4/SUM(Monthly_Override!$C4:$N4),IF(Assumptions!$B$5=3,Seasonal_Profile!C$11,IF($C4=1,IF(Assumptions!$B$10=2,Assumptions!E$13*IF(Assumptions!$B$5=1,Seasonal_Profile!C$8,Seasonal_Profile!C$10)/IF(Assumptions!$B$5=1,SUMPRODUCT(Assumptions!$D$13:$O$13,Seasonal_Profile!$B$8:$M$8),SUMPRODUCT(Assumptions!$D$13:$O$13,Seasonal_Profile!$B$10:$M$10)),Assumptions!E$13/SUM(Assumptions!$D$13:$O$13)),IF(Assumptions!$B$5=1,Seasonal_Profile!C$8,Seasonal_Profile!C$10))))</f>
        <v/>
      </c>
      <c r="F4" s="35">
        <f>IF(SUM(Monthly_Override!$C4:$N4)&gt;0,Monthly_Override!E4/SUM(Monthly_Override!$C4:$N4),IF(Assumptions!$B$5=3,Seasonal_Profile!D$11,IF($C4=1,IF(Assumptions!$B$10=2,Assumptions!F$13*IF(Assumptions!$B$5=1,Seasonal_Profile!D$8,Seasonal_Profile!D$10)/IF(Assumptions!$B$5=1,SUMPRODUCT(Assumptions!$D$13:$O$13,Seasonal_Profile!$B$8:$M$8),SUMPRODUCT(Assumptions!$D$13:$O$13,Seasonal_Profile!$B$10:$M$10)),Assumptions!F$13/SUM(Assumptions!$D$13:$O$13)),IF(Assumptions!$B$5=1,Seasonal_Profile!D$8,Seasonal_Profile!D$10))))</f>
        <v/>
      </c>
      <c r="G4" s="35">
        <f>IF(SUM(Monthly_Override!$C4:$N4)&gt;0,Monthly_Override!F4/SUM(Monthly_Override!$C4:$N4),IF(Assumptions!$B$5=3,Seasonal_Profile!E$11,IF($C4=1,IF(Assumptions!$B$10=2,Assumptions!G$13*IF(Assumptions!$B$5=1,Seasonal_Profile!E$8,Seasonal_Profile!E$10)/IF(Assumptions!$B$5=1,SUMPRODUCT(Assumptions!$D$13:$O$13,Seasonal_Profile!$B$8:$M$8),SUMPRODUCT(Assumptions!$D$13:$O$13,Seasonal_Profile!$B$10:$M$10)),Assumptions!G$13/SUM(Assumptions!$D$13:$O$13)),IF(Assumptions!$B$5=1,Seasonal_Profile!E$8,Seasonal_Profile!E$10))))</f>
        <v/>
      </c>
      <c r="H4" s="35">
        <f>IF(SUM(Monthly_Override!$C4:$N4)&gt;0,Monthly_Override!G4/SUM(Monthly_Override!$C4:$N4),IF(Assumptions!$B$5=3,Seasonal_Profile!F$11,IF($C4=1,IF(Assumptions!$B$10=2,Assumptions!H$13*IF(Assumptions!$B$5=1,Seasonal_Profile!F$8,Seasonal_Profile!F$10)/IF(Assumptions!$B$5=1,SUMPRODUCT(Assumptions!$D$13:$O$13,Seasonal_Profile!$B$8:$M$8),SUMPRODUCT(Assumptions!$D$13:$O$13,Seasonal_Profile!$B$10:$M$10)),Assumptions!H$13/SUM(Assumptions!$D$13:$O$13)),IF(Assumptions!$B$5=1,Seasonal_Profile!F$8,Seasonal_Profile!F$10))))</f>
        <v/>
      </c>
      <c r="I4" s="35">
        <f>IF(SUM(Monthly_Override!$C4:$N4)&gt;0,Monthly_Override!H4/SUM(Monthly_Override!$C4:$N4),IF(Assumptions!$B$5=3,Seasonal_Profile!G$11,IF($C4=1,IF(Assumptions!$B$10=2,Assumptions!I$13*IF(Assumptions!$B$5=1,Seasonal_Profile!G$8,Seasonal_Profile!G$10)/IF(Assumptions!$B$5=1,SUMPRODUCT(Assumptions!$D$13:$O$13,Seasonal_Profile!$B$8:$M$8),SUMPRODUCT(Assumptions!$D$13:$O$13,Seasonal_Profile!$B$10:$M$10)),Assumptions!I$13/SUM(Assumptions!$D$13:$O$13)),IF(Assumptions!$B$5=1,Seasonal_Profile!G$8,Seasonal_Profile!G$10))))</f>
        <v/>
      </c>
      <c r="J4" s="35">
        <f>IF(SUM(Monthly_Override!$C4:$N4)&gt;0,Monthly_Override!I4/SUM(Monthly_Override!$C4:$N4),IF(Assumptions!$B$5=3,Seasonal_Profile!H$11,IF($C4=1,IF(Assumptions!$B$10=2,Assumptions!J$13*IF(Assumptions!$B$5=1,Seasonal_Profile!H$8,Seasonal_Profile!H$10)/IF(Assumptions!$B$5=1,SUMPRODUCT(Assumptions!$D$13:$O$13,Seasonal_Profile!$B$8:$M$8),SUMPRODUCT(Assumptions!$D$13:$O$13,Seasonal_Profile!$B$10:$M$10)),Assumptions!J$13/SUM(Assumptions!$D$13:$O$13)),IF(Assumptions!$B$5=1,Seasonal_Profile!H$8,Seasonal_Profile!H$10))))</f>
        <v/>
      </c>
      <c r="K4" s="35">
        <f>IF(SUM(Monthly_Override!$C4:$N4)&gt;0,Monthly_Override!J4/SUM(Monthly_Override!$C4:$N4),IF(Assumptions!$B$5=3,Seasonal_Profile!I$11,IF($C4=1,IF(Assumptions!$B$10=2,Assumptions!K$13*IF(Assumptions!$B$5=1,Seasonal_Profile!I$8,Seasonal_Profile!I$10)/IF(Assumptions!$B$5=1,SUMPRODUCT(Assumptions!$D$13:$O$13,Seasonal_Profile!$B$8:$M$8),SUMPRODUCT(Assumptions!$D$13:$O$13,Seasonal_Profile!$B$10:$M$10)),Assumptions!K$13/SUM(Assumptions!$D$13:$O$13)),IF(Assumptions!$B$5=1,Seasonal_Profile!I$8,Seasonal_Profile!I$10))))</f>
        <v/>
      </c>
      <c r="L4" s="35">
        <f>IF(SUM(Monthly_Override!$C4:$N4)&gt;0,Monthly_Override!K4/SUM(Monthly_Override!$C4:$N4),IF(Assumptions!$B$5=3,Seasonal_Profile!J$11,IF($C4=1,IF(Assumptions!$B$10=2,Assumptions!L$13*IF(Assumptions!$B$5=1,Seasonal_Profile!J$8,Seasonal_Profile!J$10)/IF(Assumptions!$B$5=1,SUMPRODUCT(Assumptions!$D$13:$O$13,Seasonal_Profile!$B$8:$M$8),SUMPRODUCT(Assumptions!$D$13:$O$13,Seasonal_Profile!$B$10:$M$10)),Assumptions!L$13/SUM(Assumptions!$D$13:$O$13)),IF(Assumptions!$B$5=1,Seasonal_Profile!J$8,Seasonal_Profile!J$10))))</f>
        <v/>
      </c>
      <c r="M4" s="35">
        <f>IF(SUM(Monthly_Override!$C4:$N4)&gt;0,Monthly_Override!L4/SUM(Monthly_Override!$C4:$N4),IF(Assumptions!$B$5=3,Seasonal_Profile!K$11,IF($C4=1,IF(Assumptions!$B$10=2,Assumptions!M$13*IF(Assumptions!$B$5=1,Seasonal_Profile!K$8,Seasonal_Profile!K$10)/IF(Assumptions!$B$5=1,SUMPRODUCT(Assumptions!$D$13:$O$13,Seasonal_Profile!$B$8:$M$8),SUMPRODUCT(Assumptions!$D$13:$O$13,Seasonal_Profile!$B$10:$M$10)),Assumptions!M$13/SUM(Assumptions!$D$13:$O$13)),IF(Assumptions!$B$5=1,Seasonal_Profile!K$8,Seasonal_Profile!K$10))))</f>
        <v/>
      </c>
      <c r="N4" s="35">
        <f>IF(SUM(Monthly_Override!$C4:$N4)&gt;0,Monthly_Override!M4/SUM(Monthly_Override!$C4:$N4),IF(Assumptions!$B$5=3,Seasonal_Profile!L$11,IF($C4=1,IF(Assumptions!$B$10=2,Assumptions!N$13*IF(Assumptions!$B$5=1,Seasonal_Profile!L$8,Seasonal_Profile!L$10)/IF(Assumptions!$B$5=1,SUMPRODUCT(Assumptions!$D$13:$O$13,Seasonal_Profile!$B$8:$M$8),SUMPRODUCT(Assumptions!$D$13:$O$13,Seasonal_Profile!$B$10:$M$10)),Assumptions!N$13/SUM(Assumptions!$D$13:$O$13)),IF(Assumptions!$B$5=1,Seasonal_Profile!L$8,Seasonal_Profile!L$10))))</f>
        <v/>
      </c>
      <c r="O4" s="35">
        <f>IF(SUM(Monthly_Override!$C4:$N4)&gt;0,Monthly_Override!N4/SUM(Monthly_Override!$C4:$N4),IF(Assumptions!$B$5=3,Seasonal_Profile!M$11,IF($C4=1,IF(Assumptions!$B$10=2,Assumptions!O$13*IF(Assumptions!$B$5=1,Seasonal_Profile!M$8,Seasonal_Profile!M$10)/IF(Assumptions!$B$5=1,SUMPRODUCT(Assumptions!$D$13:$O$13,Seasonal_Profile!$B$8:$M$8),SUMPRODUCT(Assumptions!$D$13:$O$13,Seasonal_Profile!$B$10:$M$10)),Assumptions!O$13/SUM(Assumptions!$D$13:$O$13)),IF(Assumptions!$B$5=1,Seasonal_Profile!M$8,Seasonal_Profile!M$10))))</f>
        <v/>
      </c>
      <c r="P4" s="36">
        <f>SUM(D4:O4)</f>
        <v/>
      </c>
    </row>
    <row r="5">
      <c r="A5" s="6" t="inlineStr">
        <is>
          <t>Anda</t>
        </is>
      </c>
      <c r="B5" s="6" t="n">
        <v>2024</v>
      </c>
      <c r="C5" s="11">
        <f>Assumptions!C14</f>
        <v/>
      </c>
      <c r="D5" s="35">
        <f>IF(SUM(Monthly_Override!$C5:$N5)&gt;0,Monthly_Override!C5/SUM(Monthly_Override!$C5:$N5),IF(Assumptions!$B$5=3,Seasonal_Profile!B$11,IF($C5=1,IF(Assumptions!$B$10=2,Assumptions!D$14*IF(Assumptions!$B$5=1,Seasonal_Profile!B$8,Seasonal_Profile!B$10)/IF(Assumptions!$B$5=1,SUMPRODUCT(Assumptions!$D$14:$O$14,Seasonal_Profile!$B$8:$M$8),SUMPRODUCT(Assumptions!$D$14:$O$14,Seasonal_Profile!$B$10:$M$10)),Assumptions!D$14/SUM(Assumptions!$D$14:$O$14)),IF(Assumptions!$B$5=1,Seasonal_Profile!B$8,Seasonal_Profile!B$10))))</f>
        <v/>
      </c>
      <c r="E5" s="35">
        <f>IF(SUM(Monthly_Override!$C5:$N5)&gt;0,Monthly_Override!D5/SUM(Monthly_Override!$C5:$N5),IF(Assumptions!$B$5=3,Seasonal_Profile!C$11,IF($C5=1,IF(Assumptions!$B$10=2,Assumptions!E$14*IF(Assumptions!$B$5=1,Seasonal_Profile!C$8,Seasonal_Profile!C$10)/IF(Assumptions!$B$5=1,SUMPRODUCT(Assumptions!$D$14:$O$14,Seasonal_Profile!$B$8:$M$8),SUMPRODUCT(Assumptions!$D$14:$O$14,Seasonal_Profile!$B$10:$M$10)),Assumptions!E$14/SUM(Assumptions!$D$14:$O$14)),IF(Assumptions!$B$5=1,Seasonal_Profile!C$8,Seasonal_Profile!C$10))))</f>
        <v/>
      </c>
      <c r="F5" s="35">
        <f>IF(SUM(Monthly_Override!$C5:$N5)&gt;0,Monthly_Override!E5/SUM(Monthly_Override!$C5:$N5),IF(Assumptions!$B$5=3,Seasonal_Profile!D$11,IF($C5=1,IF(Assumptions!$B$10=2,Assumptions!F$14*IF(Assumptions!$B$5=1,Seasonal_Profile!D$8,Seasonal_Profile!D$10)/IF(Assumptions!$B$5=1,SUMPRODUCT(Assumptions!$D$14:$O$14,Seasonal_Profile!$B$8:$M$8),SUMPRODUCT(Assumptions!$D$14:$O$14,Seasonal_Profile!$B$10:$M$10)),Assumptions!F$14/SUM(Assumptions!$D$14:$O$14)),IF(Assumptions!$B$5=1,Seasonal_Profile!D$8,Seasonal_Profile!D$10))))</f>
        <v/>
      </c>
      <c r="G5" s="35">
        <f>IF(SUM(Monthly_Override!$C5:$N5)&gt;0,Monthly_Override!F5/SUM(Monthly_Override!$C5:$N5),IF(Assumptions!$B$5=3,Seasonal_Profile!E$11,IF($C5=1,IF(Assumptions!$B$10=2,Assumptions!G$14*IF(Assumptions!$B$5=1,Seasonal_Profile!E$8,Seasonal_Profile!E$10)/IF(Assumptions!$B$5=1,SUMPRODUCT(Assumptions!$D$14:$O$14,Seasonal_Profile!$B$8:$M$8),SUMPRODUCT(Assumptions!$D$14:$O$14,Seasonal_Profile!$B$10:$M$10)),Assumptions!G$14/SUM(Assumptions!$D$14:$O$14)),IF(Assumptions!$B$5=1,Seasonal_Profile!E$8,Seasonal_Profile!E$10))))</f>
        <v/>
      </c>
      <c r="H5" s="35">
        <f>IF(SUM(Monthly_Override!$C5:$N5)&gt;0,Monthly_Override!G5/SUM(Monthly_Override!$C5:$N5),IF(Assumptions!$B$5=3,Seasonal_Profile!F$11,IF($C5=1,IF(Assumptions!$B$10=2,Assumptions!H$14*IF(Assumptions!$B$5=1,Seasonal_Profile!F$8,Seasonal_Profile!F$10)/IF(Assumptions!$B$5=1,SUMPRODUCT(Assumptions!$D$14:$O$14,Seasonal_Profile!$B$8:$M$8),SUMPRODUCT(Assumptions!$D$14:$O$14,Seasonal_Profile!$B$10:$M$10)),Assumptions!H$14/SUM(Assumptions!$D$14:$O$14)),IF(Assumptions!$B$5=1,Seasonal_Profile!F$8,Seasonal_Profile!F$10))))</f>
        <v/>
      </c>
      <c r="I5" s="35">
        <f>IF(SUM(Monthly_Override!$C5:$N5)&gt;0,Monthly_Override!H5/SUM(Monthly_Override!$C5:$N5),IF(Assumptions!$B$5=3,Seasonal_Profile!G$11,IF($C5=1,IF(Assumptions!$B$10=2,Assumptions!I$14*IF(Assumptions!$B$5=1,Seasonal_Profile!G$8,Seasonal_Profile!G$10)/IF(Assumptions!$B$5=1,SUMPRODUCT(Assumptions!$D$14:$O$14,Seasonal_Profile!$B$8:$M$8),SUMPRODUCT(Assumptions!$D$14:$O$14,Seasonal_Profile!$B$10:$M$10)),Assumptions!I$14/SUM(Assumptions!$D$14:$O$14)),IF(Assumptions!$B$5=1,Seasonal_Profile!G$8,Seasonal_Profile!G$10))))</f>
        <v/>
      </c>
      <c r="J5" s="35">
        <f>IF(SUM(Monthly_Override!$C5:$N5)&gt;0,Monthly_Override!I5/SUM(Monthly_Override!$C5:$N5),IF(Assumptions!$B$5=3,Seasonal_Profile!H$11,IF($C5=1,IF(Assumptions!$B$10=2,Assumptions!J$14*IF(Assumptions!$B$5=1,Seasonal_Profile!H$8,Seasonal_Profile!H$10)/IF(Assumptions!$B$5=1,SUMPRODUCT(Assumptions!$D$14:$O$14,Seasonal_Profile!$B$8:$M$8),SUMPRODUCT(Assumptions!$D$14:$O$14,Seasonal_Profile!$B$10:$M$10)),Assumptions!J$14/SUM(Assumptions!$D$14:$O$14)),IF(Assumptions!$B$5=1,Seasonal_Profile!H$8,Seasonal_Profile!H$10))))</f>
        <v/>
      </c>
      <c r="K5" s="35">
        <f>IF(SUM(Monthly_Override!$C5:$N5)&gt;0,Monthly_Override!J5/SUM(Monthly_Override!$C5:$N5),IF(Assumptions!$B$5=3,Seasonal_Profile!I$11,IF($C5=1,IF(Assumptions!$B$10=2,Assumptions!K$14*IF(Assumptions!$B$5=1,Seasonal_Profile!I$8,Seasonal_Profile!I$10)/IF(Assumptions!$B$5=1,SUMPRODUCT(Assumptions!$D$14:$O$14,Seasonal_Profile!$B$8:$M$8),SUMPRODUCT(Assumptions!$D$14:$O$14,Seasonal_Profile!$B$10:$M$10)),Assumptions!K$14/SUM(Assumptions!$D$14:$O$14)),IF(Assumptions!$B$5=1,Seasonal_Profile!I$8,Seasonal_Profile!I$10))))</f>
        <v/>
      </c>
      <c r="L5" s="35">
        <f>IF(SUM(Monthly_Override!$C5:$N5)&gt;0,Monthly_Override!K5/SUM(Monthly_Override!$C5:$N5),IF(Assumptions!$B$5=3,Seasonal_Profile!J$11,IF($C5=1,IF(Assumptions!$B$10=2,Assumptions!L$14*IF(Assumptions!$B$5=1,Seasonal_Profile!J$8,Seasonal_Profile!J$10)/IF(Assumptions!$B$5=1,SUMPRODUCT(Assumptions!$D$14:$O$14,Seasonal_Profile!$B$8:$M$8),SUMPRODUCT(Assumptions!$D$14:$O$14,Seasonal_Profile!$B$10:$M$10)),Assumptions!L$14/SUM(Assumptions!$D$14:$O$14)),IF(Assumptions!$B$5=1,Seasonal_Profile!J$8,Seasonal_Profile!J$10))))</f>
        <v/>
      </c>
      <c r="M5" s="35">
        <f>IF(SUM(Monthly_Override!$C5:$N5)&gt;0,Monthly_Override!L5/SUM(Monthly_Override!$C5:$N5),IF(Assumptions!$B$5=3,Seasonal_Profile!K$11,IF($C5=1,IF(Assumptions!$B$10=2,Assumptions!M$14*IF(Assumptions!$B$5=1,Seasonal_Profile!K$8,Seasonal_Profile!K$10)/IF(Assumptions!$B$5=1,SUMPRODUCT(Assumptions!$D$14:$O$14,Seasonal_Profile!$B$8:$M$8),SUMPRODUCT(Assumptions!$D$14:$O$14,Seasonal_Profile!$B$10:$M$10)),Assumptions!M$14/SUM(Assumptions!$D$14:$O$14)),IF(Assumptions!$B$5=1,Seasonal_Profile!K$8,Seasonal_Profile!K$10))))</f>
        <v/>
      </c>
      <c r="N5" s="35">
        <f>IF(SUM(Monthly_Override!$C5:$N5)&gt;0,Monthly_Override!M5/SUM(Monthly_Override!$C5:$N5),IF(Assumptions!$B$5=3,Seasonal_Profile!L$11,IF($C5=1,IF(Assumptions!$B$10=2,Assumptions!N$14*IF(Assumptions!$B$5=1,Seasonal_Profile!L$8,Seasonal_Profile!L$10)/IF(Assumptions!$B$5=1,SUMPRODUCT(Assumptions!$D$14:$O$14,Seasonal_Profile!$B$8:$M$8),SUMPRODUCT(Assumptions!$D$14:$O$14,Seasonal_Profile!$B$10:$M$10)),Assumptions!N$14/SUM(Assumptions!$D$14:$O$14)),IF(Assumptions!$B$5=1,Seasonal_Profile!L$8,Seasonal_Profile!L$10))))</f>
        <v/>
      </c>
      <c r="O5" s="35">
        <f>IF(SUM(Monthly_Override!$C5:$N5)&gt;0,Monthly_Override!N5/SUM(Monthly_Override!$C5:$N5),IF(Assumptions!$B$5=3,Seasonal_Profile!M$11,IF($C5=1,IF(Assumptions!$B$10=2,Assumptions!O$14*IF(Assumptions!$B$5=1,Seasonal_Profile!M$8,Seasonal_Profile!M$10)/IF(Assumptions!$B$5=1,SUMPRODUCT(Assumptions!$D$14:$O$14,Seasonal_Profile!$B$8:$M$8),SUMPRODUCT(Assumptions!$D$14:$O$14,Seasonal_Profile!$B$10:$M$10)),Assumptions!O$14/SUM(Assumptions!$D$14:$O$14)),IF(Assumptions!$B$5=1,Seasonal_Profile!M$8,Seasonal_Profile!M$10))))</f>
        <v/>
      </c>
      <c r="P5" s="36">
        <f>SUM(D5:O5)</f>
        <v/>
      </c>
    </row>
    <row r="6">
      <c r="A6" s="6" t="inlineStr">
        <is>
          <t>Bani</t>
        </is>
      </c>
      <c r="B6" s="6" t="n">
        <v>2024</v>
      </c>
      <c r="C6" s="11">
        <f>Assumptions!C15</f>
        <v/>
      </c>
      <c r="D6" s="35">
        <f>IF(SUM(Monthly_Override!$C6:$N6)&gt;0,Monthly_Override!C6/SUM(Monthly_Override!$C6:$N6),IF(Assumptions!$B$5=3,Seasonal_Profile!B$11,IF($C6=1,IF(Assumptions!$B$10=2,Assumptions!D$15*IF(Assumptions!$B$5=1,Seasonal_Profile!B$8,Seasonal_Profile!B$10)/IF(Assumptions!$B$5=1,SUMPRODUCT(Assumptions!$D$15:$O$15,Seasonal_Profile!$B$8:$M$8),SUMPRODUCT(Assumptions!$D$15:$O$15,Seasonal_Profile!$B$10:$M$10)),Assumptions!D$15/SUM(Assumptions!$D$15:$O$15)),IF(Assumptions!$B$5=1,Seasonal_Profile!B$8,Seasonal_Profile!B$10))))</f>
        <v/>
      </c>
      <c r="E6" s="35">
        <f>IF(SUM(Monthly_Override!$C6:$N6)&gt;0,Monthly_Override!D6/SUM(Monthly_Override!$C6:$N6),IF(Assumptions!$B$5=3,Seasonal_Profile!C$11,IF($C6=1,IF(Assumptions!$B$10=2,Assumptions!E$15*IF(Assumptions!$B$5=1,Seasonal_Profile!C$8,Seasonal_Profile!C$10)/IF(Assumptions!$B$5=1,SUMPRODUCT(Assumptions!$D$15:$O$15,Seasonal_Profile!$B$8:$M$8),SUMPRODUCT(Assumptions!$D$15:$O$15,Seasonal_Profile!$B$10:$M$10)),Assumptions!E$15/SUM(Assumptions!$D$15:$O$15)),IF(Assumptions!$B$5=1,Seasonal_Profile!C$8,Seasonal_Profile!C$10))))</f>
        <v/>
      </c>
      <c r="F6" s="35">
        <f>IF(SUM(Monthly_Override!$C6:$N6)&gt;0,Monthly_Override!E6/SUM(Monthly_Override!$C6:$N6),IF(Assumptions!$B$5=3,Seasonal_Profile!D$11,IF($C6=1,IF(Assumptions!$B$10=2,Assumptions!F$15*IF(Assumptions!$B$5=1,Seasonal_Profile!D$8,Seasonal_Profile!D$10)/IF(Assumptions!$B$5=1,SUMPRODUCT(Assumptions!$D$15:$O$15,Seasonal_Profile!$B$8:$M$8),SUMPRODUCT(Assumptions!$D$15:$O$15,Seasonal_Profile!$B$10:$M$10)),Assumptions!F$15/SUM(Assumptions!$D$15:$O$15)),IF(Assumptions!$B$5=1,Seasonal_Profile!D$8,Seasonal_Profile!D$10))))</f>
        <v/>
      </c>
      <c r="G6" s="35">
        <f>IF(SUM(Monthly_Override!$C6:$N6)&gt;0,Monthly_Override!F6/SUM(Monthly_Override!$C6:$N6),IF(Assumptions!$B$5=3,Seasonal_Profile!E$11,IF($C6=1,IF(Assumptions!$B$10=2,Assumptions!G$15*IF(Assumptions!$B$5=1,Seasonal_Profile!E$8,Seasonal_Profile!E$10)/IF(Assumptions!$B$5=1,SUMPRODUCT(Assumptions!$D$15:$O$15,Seasonal_Profile!$B$8:$M$8),SUMPRODUCT(Assumptions!$D$15:$O$15,Seasonal_Profile!$B$10:$M$10)),Assumptions!G$15/SUM(Assumptions!$D$15:$O$15)),IF(Assumptions!$B$5=1,Seasonal_Profile!E$8,Seasonal_Profile!E$10))))</f>
        <v/>
      </c>
      <c r="H6" s="35">
        <f>IF(SUM(Monthly_Override!$C6:$N6)&gt;0,Monthly_Override!G6/SUM(Monthly_Override!$C6:$N6),IF(Assumptions!$B$5=3,Seasonal_Profile!F$11,IF($C6=1,IF(Assumptions!$B$10=2,Assumptions!H$15*IF(Assumptions!$B$5=1,Seasonal_Profile!F$8,Seasonal_Profile!F$10)/IF(Assumptions!$B$5=1,SUMPRODUCT(Assumptions!$D$15:$O$15,Seasonal_Profile!$B$8:$M$8),SUMPRODUCT(Assumptions!$D$15:$O$15,Seasonal_Profile!$B$10:$M$10)),Assumptions!H$15/SUM(Assumptions!$D$15:$O$15)),IF(Assumptions!$B$5=1,Seasonal_Profile!F$8,Seasonal_Profile!F$10))))</f>
        <v/>
      </c>
      <c r="I6" s="35">
        <f>IF(SUM(Monthly_Override!$C6:$N6)&gt;0,Monthly_Override!H6/SUM(Monthly_Override!$C6:$N6),IF(Assumptions!$B$5=3,Seasonal_Profile!G$11,IF($C6=1,IF(Assumptions!$B$10=2,Assumptions!I$15*IF(Assumptions!$B$5=1,Seasonal_Profile!G$8,Seasonal_Profile!G$10)/IF(Assumptions!$B$5=1,SUMPRODUCT(Assumptions!$D$15:$O$15,Seasonal_Profile!$B$8:$M$8),SUMPRODUCT(Assumptions!$D$15:$O$15,Seasonal_Profile!$B$10:$M$10)),Assumptions!I$15/SUM(Assumptions!$D$15:$O$15)),IF(Assumptions!$B$5=1,Seasonal_Profile!G$8,Seasonal_Profile!G$10))))</f>
        <v/>
      </c>
      <c r="J6" s="35">
        <f>IF(SUM(Monthly_Override!$C6:$N6)&gt;0,Monthly_Override!I6/SUM(Monthly_Override!$C6:$N6),IF(Assumptions!$B$5=3,Seasonal_Profile!H$11,IF($C6=1,IF(Assumptions!$B$10=2,Assumptions!J$15*IF(Assumptions!$B$5=1,Seasonal_Profile!H$8,Seasonal_Profile!H$10)/IF(Assumptions!$B$5=1,SUMPRODUCT(Assumptions!$D$15:$O$15,Seasonal_Profile!$B$8:$M$8),SUMPRODUCT(Assumptions!$D$15:$O$15,Seasonal_Profile!$B$10:$M$10)),Assumptions!J$15/SUM(Assumptions!$D$15:$O$15)),IF(Assumptions!$B$5=1,Seasonal_Profile!H$8,Seasonal_Profile!H$10))))</f>
        <v/>
      </c>
      <c r="K6" s="35">
        <f>IF(SUM(Monthly_Override!$C6:$N6)&gt;0,Monthly_Override!J6/SUM(Monthly_Override!$C6:$N6),IF(Assumptions!$B$5=3,Seasonal_Profile!I$11,IF($C6=1,IF(Assumptions!$B$10=2,Assumptions!K$15*IF(Assumptions!$B$5=1,Seasonal_Profile!I$8,Seasonal_Profile!I$10)/IF(Assumptions!$B$5=1,SUMPRODUCT(Assumptions!$D$15:$O$15,Seasonal_Profile!$B$8:$M$8),SUMPRODUCT(Assumptions!$D$15:$O$15,Seasonal_Profile!$B$10:$M$10)),Assumptions!K$15/SUM(Assumptions!$D$15:$O$15)),IF(Assumptions!$B$5=1,Seasonal_Profile!I$8,Seasonal_Profile!I$10))))</f>
        <v/>
      </c>
      <c r="L6" s="35">
        <f>IF(SUM(Monthly_Override!$C6:$N6)&gt;0,Monthly_Override!K6/SUM(Monthly_Override!$C6:$N6),IF(Assumptions!$B$5=3,Seasonal_Profile!J$11,IF($C6=1,IF(Assumptions!$B$10=2,Assumptions!L$15*IF(Assumptions!$B$5=1,Seasonal_Profile!J$8,Seasonal_Profile!J$10)/IF(Assumptions!$B$5=1,SUMPRODUCT(Assumptions!$D$15:$O$15,Seasonal_Profile!$B$8:$M$8),SUMPRODUCT(Assumptions!$D$15:$O$15,Seasonal_Profile!$B$10:$M$10)),Assumptions!L$15/SUM(Assumptions!$D$15:$O$15)),IF(Assumptions!$B$5=1,Seasonal_Profile!J$8,Seasonal_Profile!J$10))))</f>
        <v/>
      </c>
      <c r="M6" s="35">
        <f>IF(SUM(Monthly_Override!$C6:$N6)&gt;0,Monthly_Override!L6/SUM(Monthly_Override!$C6:$N6),IF(Assumptions!$B$5=3,Seasonal_Profile!K$11,IF($C6=1,IF(Assumptions!$B$10=2,Assumptions!M$15*IF(Assumptions!$B$5=1,Seasonal_Profile!K$8,Seasonal_Profile!K$10)/IF(Assumptions!$B$5=1,SUMPRODUCT(Assumptions!$D$15:$O$15,Seasonal_Profile!$B$8:$M$8),SUMPRODUCT(Assumptions!$D$15:$O$15,Seasonal_Profile!$B$10:$M$10)),Assumptions!M$15/SUM(Assumptions!$D$15:$O$15)),IF(Assumptions!$B$5=1,Seasonal_Profile!K$8,Seasonal_Profile!K$10))))</f>
        <v/>
      </c>
      <c r="N6" s="35">
        <f>IF(SUM(Monthly_Override!$C6:$N6)&gt;0,Monthly_Override!M6/SUM(Monthly_Override!$C6:$N6),IF(Assumptions!$B$5=3,Seasonal_Profile!L$11,IF($C6=1,IF(Assumptions!$B$10=2,Assumptions!N$15*IF(Assumptions!$B$5=1,Seasonal_Profile!L$8,Seasonal_Profile!L$10)/IF(Assumptions!$B$5=1,SUMPRODUCT(Assumptions!$D$15:$O$15,Seasonal_Profile!$B$8:$M$8),SUMPRODUCT(Assumptions!$D$15:$O$15,Seasonal_Profile!$B$10:$M$10)),Assumptions!N$15/SUM(Assumptions!$D$15:$O$15)),IF(Assumptions!$B$5=1,Seasonal_Profile!L$8,Seasonal_Profile!L$10))))</f>
        <v/>
      </c>
      <c r="O6" s="35">
        <f>IF(SUM(Monthly_Override!$C6:$N6)&gt;0,Monthly_Override!N6/SUM(Monthly_Override!$C6:$N6),IF(Assumptions!$B$5=3,Seasonal_Profile!M$11,IF($C6=1,IF(Assumptions!$B$10=2,Assumptions!O$15*IF(Assumptions!$B$5=1,Seasonal_Profile!M$8,Seasonal_Profile!M$10)/IF(Assumptions!$B$5=1,SUMPRODUCT(Assumptions!$D$15:$O$15,Seasonal_Profile!$B$8:$M$8),SUMPRODUCT(Assumptions!$D$15:$O$15,Seasonal_Profile!$B$10:$M$10)),Assumptions!O$15/SUM(Assumptions!$D$15:$O$15)),IF(Assumptions!$B$5=1,Seasonal_Profile!M$8,Seasonal_Profile!M$10))))</f>
        <v/>
      </c>
      <c r="P6" s="36">
        <f>SUM(D6:O6)</f>
        <v/>
      </c>
    </row>
    <row r="7">
      <c r="A7" s="6" t="inlineStr">
        <is>
          <t>Bolinao</t>
        </is>
      </c>
      <c r="B7" s="6" t="n">
        <v>2024</v>
      </c>
      <c r="C7" s="11">
        <f>Assumptions!C16</f>
        <v/>
      </c>
      <c r="D7" s="35">
        <f>IF(SUM(Monthly_Override!$C7:$N7)&gt;0,Monthly_Override!C7/SUM(Monthly_Override!$C7:$N7),IF(Assumptions!$B$5=3,Seasonal_Profile!B$11,IF($C7=1,IF(Assumptions!$B$10=2,Assumptions!D$16*IF(Assumptions!$B$5=1,Seasonal_Profile!B$8,Seasonal_Profile!B$10)/IF(Assumptions!$B$5=1,SUMPRODUCT(Assumptions!$D$16:$O$16,Seasonal_Profile!$B$8:$M$8),SUMPRODUCT(Assumptions!$D$16:$O$16,Seasonal_Profile!$B$10:$M$10)),Assumptions!D$16/SUM(Assumptions!$D$16:$O$16)),IF(Assumptions!$B$5=1,Seasonal_Profile!B$8,Seasonal_Profile!B$10))))</f>
        <v/>
      </c>
      <c r="E7" s="35">
        <f>IF(SUM(Monthly_Override!$C7:$N7)&gt;0,Monthly_Override!D7/SUM(Monthly_Override!$C7:$N7),IF(Assumptions!$B$5=3,Seasonal_Profile!C$11,IF($C7=1,IF(Assumptions!$B$10=2,Assumptions!E$16*IF(Assumptions!$B$5=1,Seasonal_Profile!C$8,Seasonal_Profile!C$10)/IF(Assumptions!$B$5=1,SUMPRODUCT(Assumptions!$D$16:$O$16,Seasonal_Profile!$B$8:$M$8),SUMPRODUCT(Assumptions!$D$16:$O$16,Seasonal_Profile!$B$10:$M$10)),Assumptions!E$16/SUM(Assumptions!$D$16:$O$16)),IF(Assumptions!$B$5=1,Seasonal_Profile!C$8,Seasonal_Profile!C$10))))</f>
        <v/>
      </c>
      <c r="F7" s="35">
        <f>IF(SUM(Monthly_Override!$C7:$N7)&gt;0,Monthly_Override!E7/SUM(Monthly_Override!$C7:$N7),IF(Assumptions!$B$5=3,Seasonal_Profile!D$11,IF($C7=1,IF(Assumptions!$B$10=2,Assumptions!F$16*IF(Assumptions!$B$5=1,Seasonal_Profile!D$8,Seasonal_Profile!D$10)/IF(Assumptions!$B$5=1,SUMPRODUCT(Assumptions!$D$16:$O$16,Seasonal_Profile!$B$8:$M$8),SUMPRODUCT(Assumptions!$D$16:$O$16,Seasonal_Profile!$B$10:$M$10)),Assumptions!F$16/SUM(Assumptions!$D$16:$O$16)),IF(Assumptions!$B$5=1,Seasonal_Profile!D$8,Seasonal_Profile!D$10))))</f>
        <v/>
      </c>
      <c r="G7" s="35">
        <f>IF(SUM(Monthly_Override!$C7:$N7)&gt;0,Monthly_Override!F7/SUM(Monthly_Override!$C7:$N7),IF(Assumptions!$B$5=3,Seasonal_Profile!E$11,IF($C7=1,IF(Assumptions!$B$10=2,Assumptions!G$16*IF(Assumptions!$B$5=1,Seasonal_Profile!E$8,Seasonal_Profile!E$10)/IF(Assumptions!$B$5=1,SUMPRODUCT(Assumptions!$D$16:$O$16,Seasonal_Profile!$B$8:$M$8),SUMPRODUCT(Assumptions!$D$16:$O$16,Seasonal_Profile!$B$10:$M$10)),Assumptions!G$16/SUM(Assumptions!$D$16:$O$16)),IF(Assumptions!$B$5=1,Seasonal_Profile!E$8,Seasonal_Profile!E$10))))</f>
        <v/>
      </c>
      <c r="H7" s="35">
        <f>IF(SUM(Monthly_Override!$C7:$N7)&gt;0,Monthly_Override!G7/SUM(Monthly_Override!$C7:$N7),IF(Assumptions!$B$5=3,Seasonal_Profile!F$11,IF($C7=1,IF(Assumptions!$B$10=2,Assumptions!H$16*IF(Assumptions!$B$5=1,Seasonal_Profile!F$8,Seasonal_Profile!F$10)/IF(Assumptions!$B$5=1,SUMPRODUCT(Assumptions!$D$16:$O$16,Seasonal_Profile!$B$8:$M$8),SUMPRODUCT(Assumptions!$D$16:$O$16,Seasonal_Profile!$B$10:$M$10)),Assumptions!H$16/SUM(Assumptions!$D$16:$O$16)),IF(Assumptions!$B$5=1,Seasonal_Profile!F$8,Seasonal_Profile!F$10))))</f>
        <v/>
      </c>
      <c r="I7" s="35">
        <f>IF(SUM(Monthly_Override!$C7:$N7)&gt;0,Monthly_Override!H7/SUM(Monthly_Override!$C7:$N7),IF(Assumptions!$B$5=3,Seasonal_Profile!G$11,IF($C7=1,IF(Assumptions!$B$10=2,Assumptions!I$16*IF(Assumptions!$B$5=1,Seasonal_Profile!G$8,Seasonal_Profile!G$10)/IF(Assumptions!$B$5=1,SUMPRODUCT(Assumptions!$D$16:$O$16,Seasonal_Profile!$B$8:$M$8),SUMPRODUCT(Assumptions!$D$16:$O$16,Seasonal_Profile!$B$10:$M$10)),Assumptions!I$16/SUM(Assumptions!$D$16:$O$16)),IF(Assumptions!$B$5=1,Seasonal_Profile!G$8,Seasonal_Profile!G$10))))</f>
        <v/>
      </c>
      <c r="J7" s="35">
        <f>IF(SUM(Monthly_Override!$C7:$N7)&gt;0,Monthly_Override!I7/SUM(Monthly_Override!$C7:$N7),IF(Assumptions!$B$5=3,Seasonal_Profile!H$11,IF($C7=1,IF(Assumptions!$B$10=2,Assumptions!J$16*IF(Assumptions!$B$5=1,Seasonal_Profile!H$8,Seasonal_Profile!H$10)/IF(Assumptions!$B$5=1,SUMPRODUCT(Assumptions!$D$16:$O$16,Seasonal_Profile!$B$8:$M$8),SUMPRODUCT(Assumptions!$D$16:$O$16,Seasonal_Profile!$B$10:$M$10)),Assumptions!J$16/SUM(Assumptions!$D$16:$O$16)),IF(Assumptions!$B$5=1,Seasonal_Profile!H$8,Seasonal_Profile!H$10))))</f>
        <v/>
      </c>
      <c r="K7" s="35">
        <f>IF(SUM(Monthly_Override!$C7:$N7)&gt;0,Monthly_Override!J7/SUM(Monthly_Override!$C7:$N7),IF(Assumptions!$B$5=3,Seasonal_Profile!I$11,IF($C7=1,IF(Assumptions!$B$10=2,Assumptions!K$16*IF(Assumptions!$B$5=1,Seasonal_Profile!I$8,Seasonal_Profile!I$10)/IF(Assumptions!$B$5=1,SUMPRODUCT(Assumptions!$D$16:$O$16,Seasonal_Profile!$B$8:$M$8),SUMPRODUCT(Assumptions!$D$16:$O$16,Seasonal_Profile!$B$10:$M$10)),Assumptions!K$16/SUM(Assumptions!$D$16:$O$16)),IF(Assumptions!$B$5=1,Seasonal_Profile!I$8,Seasonal_Profile!I$10))))</f>
        <v/>
      </c>
      <c r="L7" s="35">
        <f>IF(SUM(Monthly_Override!$C7:$N7)&gt;0,Monthly_Override!K7/SUM(Monthly_Override!$C7:$N7),IF(Assumptions!$B$5=3,Seasonal_Profile!J$11,IF($C7=1,IF(Assumptions!$B$10=2,Assumptions!L$16*IF(Assumptions!$B$5=1,Seasonal_Profile!J$8,Seasonal_Profile!J$10)/IF(Assumptions!$B$5=1,SUMPRODUCT(Assumptions!$D$16:$O$16,Seasonal_Profile!$B$8:$M$8),SUMPRODUCT(Assumptions!$D$16:$O$16,Seasonal_Profile!$B$10:$M$10)),Assumptions!L$16/SUM(Assumptions!$D$16:$O$16)),IF(Assumptions!$B$5=1,Seasonal_Profile!J$8,Seasonal_Profile!J$10))))</f>
        <v/>
      </c>
      <c r="M7" s="35">
        <f>IF(SUM(Monthly_Override!$C7:$N7)&gt;0,Monthly_Override!L7/SUM(Monthly_Override!$C7:$N7),IF(Assumptions!$B$5=3,Seasonal_Profile!K$11,IF($C7=1,IF(Assumptions!$B$10=2,Assumptions!M$16*IF(Assumptions!$B$5=1,Seasonal_Profile!K$8,Seasonal_Profile!K$10)/IF(Assumptions!$B$5=1,SUMPRODUCT(Assumptions!$D$16:$O$16,Seasonal_Profile!$B$8:$M$8),SUMPRODUCT(Assumptions!$D$16:$O$16,Seasonal_Profile!$B$10:$M$10)),Assumptions!M$16/SUM(Assumptions!$D$16:$O$16)),IF(Assumptions!$B$5=1,Seasonal_Profile!K$8,Seasonal_Profile!K$10))))</f>
        <v/>
      </c>
      <c r="N7" s="35">
        <f>IF(SUM(Monthly_Override!$C7:$N7)&gt;0,Monthly_Override!M7/SUM(Monthly_Override!$C7:$N7),IF(Assumptions!$B$5=3,Seasonal_Profile!L$11,IF($C7=1,IF(Assumptions!$B$10=2,Assumptions!N$16*IF(Assumptions!$B$5=1,Seasonal_Profile!L$8,Seasonal_Profile!L$10)/IF(Assumptions!$B$5=1,SUMPRODUCT(Assumptions!$D$16:$O$16,Seasonal_Profile!$B$8:$M$8),SUMPRODUCT(Assumptions!$D$16:$O$16,Seasonal_Profile!$B$10:$M$10)),Assumptions!N$16/SUM(Assumptions!$D$16:$O$16)),IF(Assumptions!$B$5=1,Seasonal_Profile!L$8,Seasonal_Profile!L$10))))</f>
        <v/>
      </c>
      <c r="O7" s="35">
        <f>IF(SUM(Monthly_Override!$C7:$N7)&gt;0,Monthly_Override!N7/SUM(Monthly_Override!$C7:$N7),IF(Assumptions!$B$5=3,Seasonal_Profile!M$11,IF($C7=1,IF(Assumptions!$B$10=2,Assumptions!O$16*IF(Assumptions!$B$5=1,Seasonal_Profile!M$8,Seasonal_Profile!M$10)/IF(Assumptions!$B$5=1,SUMPRODUCT(Assumptions!$D$16:$O$16,Seasonal_Profile!$B$8:$M$8),SUMPRODUCT(Assumptions!$D$16:$O$16,Seasonal_Profile!$B$10:$M$10)),Assumptions!O$16/SUM(Assumptions!$D$16:$O$16)),IF(Assumptions!$B$5=1,Seasonal_Profile!M$8,Seasonal_Profile!M$10))))</f>
        <v/>
      </c>
      <c r="P7" s="36">
        <f>SUM(D7:O7)</f>
        <v/>
      </c>
    </row>
    <row r="8">
      <c r="A8" s="6" t="inlineStr">
        <is>
          <t>Dasol</t>
        </is>
      </c>
      <c r="B8" s="6" t="n">
        <v>2024</v>
      </c>
      <c r="C8" s="11">
        <f>Assumptions!C17</f>
        <v/>
      </c>
      <c r="D8" s="35">
        <f>IF(SUM(Monthly_Override!$C8:$N8)&gt;0,Monthly_Override!C8/SUM(Monthly_Override!$C8:$N8),IF(Assumptions!$B$5=3,Seasonal_Profile!B$11,IF($C8=1,IF(Assumptions!$B$10=2,Assumptions!D$17*IF(Assumptions!$B$5=1,Seasonal_Profile!B$8,Seasonal_Profile!B$10)/IF(Assumptions!$B$5=1,SUMPRODUCT(Assumptions!$D$17:$O$17,Seasonal_Profile!$B$8:$M$8),SUMPRODUCT(Assumptions!$D$17:$O$17,Seasonal_Profile!$B$10:$M$10)),Assumptions!D$17/SUM(Assumptions!$D$17:$O$17)),IF(Assumptions!$B$5=1,Seasonal_Profile!B$8,Seasonal_Profile!B$10))))</f>
        <v/>
      </c>
      <c r="E8" s="35">
        <f>IF(SUM(Monthly_Override!$C8:$N8)&gt;0,Monthly_Override!D8/SUM(Monthly_Override!$C8:$N8),IF(Assumptions!$B$5=3,Seasonal_Profile!C$11,IF($C8=1,IF(Assumptions!$B$10=2,Assumptions!E$17*IF(Assumptions!$B$5=1,Seasonal_Profile!C$8,Seasonal_Profile!C$10)/IF(Assumptions!$B$5=1,SUMPRODUCT(Assumptions!$D$17:$O$17,Seasonal_Profile!$B$8:$M$8),SUMPRODUCT(Assumptions!$D$17:$O$17,Seasonal_Profile!$B$10:$M$10)),Assumptions!E$17/SUM(Assumptions!$D$17:$O$17)),IF(Assumptions!$B$5=1,Seasonal_Profile!C$8,Seasonal_Profile!C$10))))</f>
        <v/>
      </c>
      <c r="F8" s="35">
        <f>IF(SUM(Monthly_Override!$C8:$N8)&gt;0,Monthly_Override!E8/SUM(Monthly_Override!$C8:$N8),IF(Assumptions!$B$5=3,Seasonal_Profile!D$11,IF($C8=1,IF(Assumptions!$B$10=2,Assumptions!F$17*IF(Assumptions!$B$5=1,Seasonal_Profile!D$8,Seasonal_Profile!D$10)/IF(Assumptions!$B$5=1,SUMPRODUCT(Assumptions!$D$17:$O$17,Seasonal_Profile!$B$8:$M$8),SUMPRODUCT(Assumptions!$D$17:$O$17,Seasonal_Profile!$B$10:$M$10)),Assumptions!F$17/SUM(Assumptions!$D$17:$O$17)),IF(Assumptions!$B$5=1,Seasonal_Profile!D$8,Seasonal_Profile!D$10))))</f>
        <v/>
      </c>
      <c r="G8" s="35">
        <f>IF(SUM(Monthly_Override!$C8:$N8)&gt;0,Monthly_Override!F8/SUM(Monthly_Override!$C8:$N8),IF(Assumptions!$B$5=3,Seasonal_Profile!E$11,IF($C8=1,IF(Assumptions!$B$10=2,Assumptions!G$17*IF(Assumptions!$B$5=1,Seasonal_Profile!E$8,Seasonal_Profile!E$10)/IF(Assumptions!$B$5=1,SUMPRODUCT(Assumptions!$D$17:$O$17,Seasonal_Profile!$B$8:$M$8),SUMPRODUCT(Assumptions!$D$17:$O$17,Seasonal_Profile!$B$10:$M$10)),Assumptions!G$17/SUM(Assumptions!$D$17:$O$17)),IF(Assumptions!$B$5=1,Seasonal_Profile!E$8,Seasonal_Profile!E$10))))</f>
        <v/>
      </c>
      <c r="H8" s="35">
        <f>IF(SUM(Monthly_Override!$C8:$N8)&gt;0,Monthly_Override!G8/SUM(Monthly_Override!$C8:$N8),IF(Assumptions!$B$5=3,Seasonal_Profile!F$11,IF($C8=1,IF(Assumptions!$B$10=2,Assumptions!H$17*IF(Assumptions!$B$5=1,Seasonal_Profile!F$8,Seasonal_Profile!F$10)/IF(Assumptions!$B$5=1,SUMPRODUCT(Assumptions!$D$17:$O$17,Seasonal_Profile!$B$8:$M$8),SUMPRODUCT(Assumptions!$D$17:$O$17,Seasonal_Profile!$B$10:$M$10)),Assumptions!H$17/SUM(Assumptions!$D$17:$O$17)),IF(Assumptions!$B$5=1,Seasonal_Profile!F$8,Seasonal_Profile!F$10))))</f>
        <v/>
      </c>
      <c r="I8" s="35">
        <f>IF(SUM(Monthly_Override!$C8:$N8)&gt;0,Monthly_Override!H8/SUM(Monthly_Override!$C8:$N8),IF(Assumptions!$B$5=3,Seasonal_Profile!G$11,IF($C8=1,IF(Assumptions!$B$10=2,Assumptions!I$17*IF(Assumptions!$B$5=1,Seasonal_Profile!G$8,Seasonal_Profile!G$10)/IF(Assumptions!$B$5=1,SUMPRODUCT(Assumptions!$D$17:$O$17,Seasonal_Profile!$B$8:$M$8),SUMPRODUCT(Assumptions!$D$17:$O$17,Seasonal_Profile!$B$10:$M$10)),Assumptions!I$17/SUM(Assumptions!$D$17:$O$17)),IF(Assumptions!$B$5=1,Seasonal_Profile!G$8,Seasonal_Profile!G$10))))</f>
        <v/>
      </c>
      <c r="J8" s="35">
        <f>IF(SUM(Monthly_Override!$C8:$N8)&gt;0,Monthly_Override!I8/SUM(Monthly_Override!$C8:$N8),IF(Assumptions!$B$5=3,Seasonal_Profile!H$11,IF($C8=1,IF(Assumptions!$B$10=2,Assumptions!J$17*IF(Assumptions!$B$5=1,Seasonal_Profile!H$8,Seasonal_Profile!H$10)/IF(Assumptions!$B$5=1,SUMPRODUCT(Assumptions!$D$17:$O$17,Seasonal_Profile!$B$8:$M$8),SUMPRODUCT(Assumptions!$D$17:$O$17,Seasonal_Profile!$B$10:$M$10)),Assumptions!J$17/SUM(Assumptions!$D$17:$O$17)),IF(Assumptions!$B$5=1,Seasonal_Profile!H$8,Seasonal_Profile!H$10))))</f>
        <v/>
      </c>
      <c r="K8" s="35">
        <f>IF(SUM(Monthly_Override!$C8:$N8)&gt;0,Monthly_Override!J8/SUM(Monthly_Override!$C8:$N8),IF(Assumptions!$B$5=3,Seasonal_Profile!I$11,IF($C8=1,IF(Assumptions!$B$10=2,Assumptions!K$17*IF(Assumptions!$B$5=1,Seasonal_Profile!I$8,Seasonal_Profile!I$10)/IF(Assumptions!$B$5=1,SUMPRODUCT(Assumptions!$D$17:$O$17,Seasonal_Profile!$B$8:$M$8),SUMPRODUCT(Assumptions!$D$17:$O$17,Seasonal_Profile!$B$10:$M$10)),Assumptions!K$17/SUM(Assumptions!$D$17:$O$17)),IF(Assumptions!$B$5=1,Seasonal_Profile!I$8,Seasonal_Profile!I$10))))</f>
        <v/>
      </c>
      <c r="L8" s="35">
        <f>IF(SUM(Monthly_Override!$C8:$N8)&gt;0,Monthly_Override!K8/SUM(Monthly_Override!$C8:$N8),IF(Assumptions!$B$5=3,Seasonal_Profile!J$11,IF($C8=1,IF(Assumptions!$B$10=2,Assumptions!L$17*IF(Assumptions!$B$5=1,Seasonal_Profile!J$8,Seasonal_Profile!J$10)/IF(Assumptions!$B$5=1,SUMPRODUCT(Assumptions!$D$17:$O$17,Seasonal_Profile!$B$8:$M$8),SUMPRODUCT(Assumptions!$D$17:$O$17,Seasonal_Profile!$B$10:$M$10)),Assumptions!L$17/SUM(Assumptions!$D$17:$O$17)),IF(Assumptions!$B$5=1,Seasonal_Profile!J$8,Seasonal_Profile!J$10))))</f>
        <v/>
      </c>
      <c r="M8" s="35">
        <f>IF(SUM(Monthly_Override!$C8:$N8)&gt;0,Monthly_Override!L8/SUM(Monthly_Override!$C8:$N8),IF(Assumptions!$B$5=3,Seasonal_Profile!K$11,IF($C8=1,IF(Assumptions!$B$10=2,Assumptions!M$17*IF(Assumptions!$B$5=1,Seasonal_Profile!K$8,Seasonal_Profile!K$10)/IF(Assumptions!$B$5=1,SUMPRODUCT(Assumptions!$D$17:$O$17,Seasonal_Profile!$B$8:$M$8),SUMPRODUCT(Assumptions!$D$17:$O$17,Seasonal_Profile!$B$10:$M$10)),Assumptions!M$17/SUM(Assumptions!$D$17:$O$17)),IF(Assumptions!$B$5=1,Seasonal_Profile!K$8,Seasonal_Profile!K$10))))</f>
        <v/>
      </c>
      <c r="N8" s="35">
        <f>IF(SUM(Monthly_Override!$C8:$N8)&gt;0,Monthly_Override!M8/SUM(Monthly_Override!$C8:$N8),IF(Assumptions!$B$5=3,Seasonal_Profile!L$11,IF($C8=1,IF(Assumptions!$B$10=2,Assumptions!N$17*IF(Assumptions!$B$5=1,Seasonal_Profile!L$8,Seasonal_Profile!L$10)/IF(Assumptions!$B$5=1,SUMPRODUCT(Assumptions!$D$17:$O$17,Seasonal_Profile!$B$8:$M$8),SUMPRODUCT(Assumptions!$D$17:$O$17,Seasonal_Profile!$B$10:$M$10)),Assumptions!N$17/SUM(Assumptions!$D$17:$O$17)),IF(Assumptions!$B$5=1,Seasonal_Profile!L$8,Seasonal_Profile!L$10))))</f>
        <v/>
      </c>
      <c r="O8" s="35">
        <f>IF(SUM(Monthly_Override!$C8:$N8)&gt;0,Monthly_Override!N8/SUM(Monthly_Override!$C8:$N8),IF(Assumptions!$B$5=3,Seasonal_Profile!M$11,IF($C8=1,IF(Assumptions!$B$10=2,Assumptions!O$17*IF(Assumptions!$B$5=1,Seasonal_Profile!M$8,Seasonal_Profile!M$10)/IF(Assumptions!$B$5=1,SUMPRODUCT(Assumptions!$D$17:$O$17,Seasonal_Profile!$B$8:$M$8),SUMPRODUCT(Assumptions!$D$17:$O$17,Seasonal_Profile!$B$10:$M$10)),Assumptions!O$17/SUM(Assumptions!$D$17:$O$17)),IF(Assumptions!$B$5=1,Seasonal_Profile!M$8,Seasonal_Profile!M$10))))</f>
        <v/>
      </c>
      <c r="P8" s="36">
        <f>SUM(D8:O8)</f>
        <v/>
      </c>
    </row>
    <row r="9">
      <c r="A9" s="6" t="inlineStr">
        <is>
          <t>Infanta</t>
        </is>
      </c>
      <c r="B9" s="6" t="n">
        <v>2024</v>
      </c>
      <c r="C9" s="11">
        <f>Assumptions!C18</f>
        <v/>
      </c>
      <c r="D9" s="35">
        <f>IF(SUM(Monthly_Override!$C9:$N9)&gt;0,Monthly_Override!C9/SUM(Monthly_Override!$C9:$N9),IF(Assumptions!$B$5=3,Seasonal_Profile!B$11,IF($C9=1,IF(Assumptions!$B$10=2,Assumptions!D$18*IF(Assumptions!$B$5=1,Seasonal_Profile!B$8,Seasonal_Profile!B$10)/IF(Assumptions!$B$5=1,SUMPRODUCT(Assumptions!$D$18:$O$18,Seasonal_Profile!$B$8:$M$8),SUMPRODUCT(Assumptions!$D$18:$O$18,Seasonal_Profile!$B$10:$M$10)),Assumptions!D$18/SUM(Assumptions!$D$18:$O$18)),IF(Assumptions!$B$5=1,Seasonal_Profile!B$8,Seasonal_Profile!B$10))))</f>
        <v/>
      </c>
      <c r="E9" s="35">
        <f>IF(SUM(Monthly_Override!$C9:$N9)&gt;0,Monthly_Override!D9/SUM(Monthly_Override!$C9:$N9),IF(Assumptions!$B$5=3,Seasonal_Profile!C$11,IF($C9=1,IF(Assumptions!$B$10=2,Assumptions!E$18*IF(Assumptions!$B$5=1,Seasonal_Profile!C$8,Seasonal_Profile!C$10)/IF(Assumptions!$B$5=1,SUMPRODUCT(Assumptions!$D$18:$O$18,Seasonal_Profile!$B$8:$M$8),SUMPRODUCT(Assumptions!$D$18:$O$18,Seasonal_Profile!$B$10:$M$10)),Assumptions!E$18/SUM(Assumptions!$D$18:$O$18)),IF(Assumptions!$B$5=1,Seasonal_Profile!C$8,Seasonal_Profile!C$10))))</f>
        <v/>
      </c>
      <c r="F9" s="35">
        <f>IF(SUM(Monthly_Override!$C9:$N9)&gt;0,Monthly_Override!E9/SUM(Monthly_Override!$C9:$N9),IF(Assumptions!$B$5=3,Seasonal_Profile!D$11,IF($C9=1,IF(Assumptions!$B$10=2,Assumptions!F$18*IF(Assumptions!$B$5=1,Seasonal_Profile!D$8,Seasonal_Profile!D$10)/IF(Assumptions!$B$5=1,SUMPRODUCT(Assumptions!$D$18:$O$18,Seasonal_Profile!$B$8:$M$8),SUMPRODUCT(Assumptions!$D$18:$O$18,Seasonal_Profile!$B$10:$M$10)),Assumptions!F$18/SUM(Assumptions!$D$18:$O$18)),IF(Assumptions!$B$5=1,Seasonal_Profile!D$8,Seasonal_Profile!D$10))))</f>
        <v/>
      </c>
      <c r="G9" s="35">
        <f>IF(SUM(Monthly_Override!$C9:$N9)&gt;0,Monthly_Override!F9/SUM(Monthly_Override!$C9:$N9),IF(Assumptions!$B$5=3,Seasonal_Profile!E$11,IF($C9=1,IF(Assumptions!$B$10=2,Assumptions!G$18*IF(Assumptions!$B$5=1,Seasonal_Profile!E$8,Seasonal_Profile!E$10)/IF(Assumptions!$B$5=1,SUMPRODUCT(Assumptions!$D$18:$O$18,Seasonal_Profile!$B$8:$M$8),SUMPRODUCT(Assumptions!$D$18:$O$18,Seasonal_Profile!$B$10:$M$10)),Assumptions!G$18/SUM(Assumptions!$D$18:$O$18)),IF(Assumptions!$B$5=1,Seasonal_Profile!E$8,Seasonal_Profile!E$10))))</f>
        <v/>
      </c>
      <c r="H9" s="35">
        <f>IF(SUM(Monthly_Override!$C9:$N9)&gt;0,Monthly_Override!G9/SUM(Monthly_Override!$C9:$N9),IF(Assumptions!$B$5=3,Seasonal_Profile!F$11,IF($C9=1,IF(Assumptions!$B$10=2,Assumptions!H$18*IF(Assumptions!$B$5=1,Seasonal_Profile!F$8,Seasonal_Profile!F$10)/IF(Assumptions!$B$5=1,SUMPRODUCT(Assumptions!$D$18:$O$18,Seasonal_Profile!$B$8:$M$8),SUMPRODUCT(Assumptions!$D$18:$O$18,Seasonal_Profile!$B$10:$M$10)),Assumptions!H$18/SUM(Assumptions!$D$18:$O$18)),IF(Assumptions!$B$5=1,Seasonal_Profile!F$8,Seasonal_Profile!F$10))))</f>
        <v/>
      </c>
      <c r="I9" s="35">
        <f>IF(SUM(Monthly_Override!$C9:$N9)&gt;0,Monthly_Override!H9/SUM(Monthly_Override!$C9:$N9),IF(Assumptions!$B$5=3,Seasonal_Profile!G$11,IF($C9=1,IF(Assumptions!$B$10=2,Assumptions!I$18*IF(Assumptions!$B$5=1,Seasonal_Profile!G$8,Seasonal_Profile!G$10)/IF(Assumptions!$B$5=1,SUMPRODUCT(Assumptions!$D$18:$O$18,Seasonal_Profile!$B$8:$M$8),SUMPRODUCT(Assumptions!$D$18:$O$18,Seasonal_Profile!$B$10:$M$10)),Assumptions!I$18/SUM(Assumptions!$D$18:$O$18)),IF(Assumptions!$B$5=1,Seasonal_Profile!G$8,Seasonal_Profile!G$10))))</f>
        <v/>
      </c>
      <c r="J9" s="35">
        <f>IF(SUM(Monthly_Override!$C9:$N9)&gt;0,Monthly_Override!I9/SUM(Monthly_Override!$C9:$N9),IF(Assumptions!$B$5=3,Seasonal_Profile!H$11,IF($C9=1,IF(Assumptions!$B$10=2,Assumptions!J$18*IF(Assumptions!$B$5=1,Seasonal_Profile!H$8,Seasonal_Profile!H$10)/IF(Assumptions!$B$5=1,SUMPRODUCT(Assumptions!$D$18:$O$18,Seasonal_Profile!$B$8:$M$8),SUMPRODUCT(Assumptions!$D$18:$O$18,Seasonal_Profile!$B$10:$M$10)),Assumptions!J$18/SUM(Assumptions!$D$18:$O$18)),IF(Assumptions!$B$5=1,Seasonal_Profile!H$8,Seasonal_Profile!H$10))))</f>
        <v/>
      </c>
      <c r="K9" s="35">
        <f>IF(SUM(Monthly_Override!$C9:$N9)&gt;0,Monthly_Override!J9/SUM(Monthly_Override!$C9:$N9),IF(Assumptions!$B$5=3,Seasonal_Profile!I$11,IF($C9=1,IF(Assumptions!$B$10=2,Assumptions!K$18*IF(Assumptions!$B$5=1,Seasonal_Profile!I$8,Seasonal_Profile!I$10)/IF(Assumptions!$B$5=1,SUMPRODUCT(Assumptions!$D$18:$O$18,Seasonal_Profile!$B$8:$M$8),SUMPRODUCT(Assumptions!$D$18:$O$18,Seasonal_Profile!$B$10:$M$10)),Assumptions!K$18/SUM(Assumptions!$D$18:$O$18)),IF(Assumptions!$B$5=1,Seasonal_Profile!I$8,Seasonal_Profile!I$10))))</f>
        <v/>
      </c>
      <c r="L9" s="35">
        <f>IF(SUM(Monthly_Override!$C9:$N9)&gt;0,Monthly_Override!K9/SUM(Monthly_Override!$C9:$N9),IF(Assumptions!$B$5=3,Seasonal_Profile!J$11,IF($C9=1,IF(Assumptions!$B$10=2,Assumptions!L$18*IF(Assumptions!$B$5=1,Seasonal_Profile!J$8,Seasonal_Profile!J$10)/IF(Assumptions!$B$5=1,SUMPRODUCT(Assumptions!$D$18:$O$18,Seasonal_Profile!$B$8:$M$8),SUMPRODUCT(Assumptions!$D$18:$O$18,Seasonal_Profile!$B$10:$M$10)),Assumptions!L$18/SUM(Assumptions!$D$18:$O$18)),IF(Assumptions!$B$5=1,Seasonal_Profile!J$8,Seasonal_Profile!J$10))))</f>
        <v/>
      </c>
      <c r="M9" s="35">
        <f>IF(SUM(Monthly_Override!$C9:$N9)&gt;0,Monthly_Override!L9/SUM(Monthly_Override!$C9:$N9),IF(Assumptions!$B$5=3,Seasonal_Profile!K$11,IF($C9=1,IF(Assumptions!$B$10=2,Assumptions!M$18*IF(Assumptions!$B$5=1,Seasonal_Profile!K$8,Seasonal_Profile!K$10)/IF(Assumptions!$B$5=1,SUMPRODUCT(Assumptions!$D$18:$O$18,Seasonal_Profile!$B$8:$M$8),SUMPRODUCT(Assumptions!$D$18:$O$18,Seasonal_Profile!$B$10:$M$10)),Assumptions!M$18/SUM(Assumptions!$D$18:$O$18)),IF(Assumptions!$B$5=1,Seasonal_Profile!K$8,Seasonal_Profile!K$10))))</f>
        <v/>
      </c>
      <c r="N9" s="35">
        <f>IF(SUM(Monthly_Override!$C9:$N9)&gt;0,Monthly_Override!M9/SUM(Monthly_Override!$C9:$N9),IF(Assumptions!$B$5=3,Seasonal_Profile!L$11,IF($C9=1,IF(Assumptions!$B$10=2,Assumptions!N$18*IF(Assumptions!$B$5=1,Seasonal_Profile!L$8,Seasonal_Profile!L$10)/IF(Assumptions!$B$5=1,SUMPRODUCT(Assumptions!$D$18:$O$18,Seasonal_Profile!$B$8:$M$8),SUMPRODUCT(Assumptions!$D$18:$O$18,Seasonal_Profile!$B$10:$M$10)),Assumptions!N$18/SUM(Assumptions!$D$18:$O$18)),IF(Assumptions!$B$5=1,Seasonal_Profile!L$8,Seasonal_Profile!L$10))))</f>
        <v/>
      </c>
      <c r="O9" s="35">
        <f>IF(SUM(Monthly_Override!$C9:$N9)&gt;0,Monthly_Override!N9/SUM(Monthly_Override!$C9:$N9),IF(Assumptions!$B$5=3,Seasonal_Profile!M$11,IF($C9=1,IF(Assumptions!$B$10=2,Assumptions!O$18*IF(Assumptions!$B$5=1,Seasonal_Profile!M$8,Seasonal_Profile!M$10)/IF(Assumptions!$B$5=1,SUMPRODUCT(Assumptions!$D$18:$O$18,Seasonal_Profile!$B$8:$M$8),SUMPRODUCT(Assumptions!$D$18:$O$18,Seasonal_Profile!$B$10:$M$10)),Assumptions!O$18/SUM(Assumptions!$D$18:$O$18)),IF(Assumptions!$B$5=1,Seasonal_Profile!M$8,Seasonal_Profile!M$10))))</f>
        <v/>
      </c>
      <c r="P9" s="36">
        <f>SUM(D9:O9)</f>
        <v/>
      </c>
    </row>
    <row r="10">
      <c r="A10" s="6" t="inlineStr">
        <is>
          <t>San Fabian</t>
        </is>
      </c>
      <c r="B10" s="6" t="n">
        <v>2024</v>
      </c>
      <c r="C10" s="11">
        <f>Assumptions!C19</f>
        <v/>
      </c>
      <c r="D10" s="35">
        <f>IF(SUM(Monthly_Override!$C10:$N10)&gt;0,Monthly_Override!C10/SUM(Monthly_Override!$C10:$N10),IF(Assumptions!$B$5=3,Seasonal_Profile!B$11,IF($C10=1,IF(Assumptions!$B$10=2,Assumptions!D$19*IF(Assumptions!$B$5=1,Seasonal_Profile!B$8,Seasonal_Profile!B$10)/IF(Assumptions!$B$5=1,SUMPRODUCT(Assumptions!$D$19:$O$19,Seasonal_Profile!$B$8:$M$8),SUMPRODUCT(Assumptions!$D$19:$O$19,Seasonal_Profile!$B$10:$M$10)),Assumptions!D$19/SUM(Assumptions!$D$19:$O$19)),IF(Assumptions!$B$5=1,Seasonal_Profile!B$8,Seasonal_Profile!B$10))))</f>
        <v/>
      </c>
      <c r="E10" s="35">
        <f>IF(SUM(Monthly_Override!$C10:$N10)&gt;0,Monthly_Override!D10/SUM(Monthly_Override!$C10:$N10),IF(Assumptions!$B$5=3,Seasonal_Profile!C$11,IF($C10=1,IF(Assumptions!$B$10=2,Assumptions!E$19*IF(Assumptions!$B$5=1,Seasonal_Profile!C$8,Seasonal_Profile!C$10)/IF(Assumptions!$B$5=1,SUMPRODUCT(Assumptions!$D$19:$O$19,Seasonal_Profile!$B$8:$M$8),SUMPRODUCT(Assumptions!$D$19:$O$19,Seasonal_Profile!$B$10:$M$10)),Assumptions!E$19/SUM(Assumptions!$D$19:$O$19)),IF(Assumptions!$B$5=1,Seasonal_Profile!C$8,Seasonal_Profile!C$10))))</f>
        <v/>
      </c>
      <c r="F10" s="35">
        <f>IF(SUM(Monthly_Override!$C10:$N10)&gt;0,Monthly_Override!E10/SUM(Monthly_Override!$C10:$N10),IF(Assumptions!$B$5=3,Seasonal_Profile!D$11,IF($C10=1,IF(Assumptions!$B$10=2,Assumptions!F$19*IF(Assumptions!$B$5=1,Seasonal_Profile!D$8,Seasonal_Profile!D$10)/IF(Assumptions!$B$5=1,SUMPRODUCT(Assumptions!$D$19:$O$19,Seasonal_Profile!$B$8:$M$8),SUMPRODUCT(Assumptions!$D$19:$O$19,Seasonal_Profile!$B$10:$M$10)),Assumptions!F$19/SUM(Assumptions!$D$19:$O$19)),IF(Assumptions!$B$5=1,Seasonal_Profile!D$8,Seasonal_Profile!D$10))))</f>
        <v/>
      </c>
      <c r="G10" s="35">
        <f>IF(SUM(Monthly_Override!$C10:$N10)&gt;0,Monthly_Override!F10/SUM(Monthly_Override!$C10:$N10),IF(Assumptions!$B$5=3,Seasonal_Profile!E$11,IF($C10=1,IF(Assumptions!$B$10=2,Assumptions!G$19*IF(Assumptions!$B$5=1,Seasonal_Profile!E$8,Seasonal_Profile!E$10)/IF(Assumptions!$B$5=1,SUMPRODUCT(Assumptions!$D$19:$O$19,Seasonal_Profile!$B$8:$M$8),SUMPRODUCT(Assumptions!$D$19:$O$19,Seasonal_Profile!$B$10:$M$10)),Assumptions!G$19/SUM(Assumptions!$D$19:$O$19)),IF(Assumptions!$B$5=1,Seasonal_Profile!E$8,Seasonal_Profile!E$10))))</f>
        <v/>
      </c>
      <c r="H10" s="35">
        <f>IF(SUM(Monthly_Override!$C10:$N10)&gt;0,Monthly_Override!G10/SUM(Monthly_Override!$C10:$N10),IF(Assumptions!$B$5=3,Seasonal_Profile!F$11,IF($C10=1,IF(Assumptions!$B$10=2,Assumptions!H$19*IF(Assumptions!$B$5=1,Seasonal_Profile!F$8,Seasonal_Profile!F$10)/IF(Assumptions!$B$5=1,SUMPRODUCT(Assumptions!$D$19:$O$19,Seasonal_Profile!$B$8:$M$8),SUMPRODUCT(Assumptions!$D$19:$O$19,Seasonal_Profile!$B$10:$M$10)),Assumptions!H$19/SUM(Assumptions!$D$19:$O$19)),IF(Assumptions!$B$5=1,Seasonal_Profile!F$8,Seasonal_Profile!F$10))))</f>
        <v/>
      </c>
      <c r="I10" s="35">
        <f>IF(SUM(Monthly_Override!$C10:$N10)&gt;0,Monthly_Override!H10/SUM(Monthly_Override!$C10:$N10),IF(Assumptions!$B$5=3,Seasonal_Profile!G$11,IF($C10=1,IF(Assumptions!$B$10=2,Assumptions!I$19*IF(Assumptions!$B$5=1,Seasonal_Profile!G$8,Seasonal_Profile!G$10)/IF(Assumptions!$B$5=1,SUMPRODUCT(Assumptions!$D$19:$O$19,Seasonal_Profile!$B$8:$M$8),SUMPRODUCT(Assumptions!$D$19:$O$19,Seasonal_Profile!$B$10:$M$10)),Assumptions!I$19/SUM(Assumptions!$D$19:$O$19)),IF(Assumptions!$B$5=1,Seasonal_Profile!G$8,Seasonal_Profile!G$10))))</f>
        <v/>
      </c>
      <c r="J10" s="35">
        <f>IF(SUM(Monthly_Override!$C10:$N10)&gt;0,Monthly_Override!I10/SUM(Monthly_Override!$C10:$N10),IF(Assumptions!$B$5=3,Seasonal_Profile!H$11,IF($C10=1,IF(Assumptions!$B$10=2,Assumptions!J$19*IF(Assumptions!$B$5=1,Seasonal_Profile!H$8,Seasonal_Profile!H$10)/IF(Assumptions!$B$5=1,SUMPRODUCT(Assumptions!$D$19:$O$19,Seasonal_Profile!$B$8:$M$8),SUMPRODUCT(Assumptions!$D$19:$O$19,Seasonal_Profile!$B$10:$M$10)),Assumptions!J$19/SUM(Assumptions!$D$19:$O$19)),IF(Assumptions!$B$5=1,Seasonal_Profile!H$8,Seasonal_Profile!H$10))))</f>
        <v/>
      </c>
      <c r="K10" s="35">
        <f>IF(SUM(Monthly_Override!$C10:$N10)&gt;0,Monthly_Override!J10/SUM(Monthly_Override!$C10:$N10),IF(Assumptions!$B$5=3,Seasonal_Profile!I$11,IF($C10=1,IF(Assumptions!$B$10=2,Assumptions!K$19*IF(Assumptions!$B$5=1,Seasonal_Profile!I$8,Seasonal_Profile!I$10)/IF(Assumptions!$B$5=1,SUMPRODUCT(Assumptions!$D$19:$O$19,Seasonal_Profile!$B$8:$M$8),SUMPRODUCT(Assumptions!$D$19:$O$19,Seasonal_Profile!$B$10:$M$10)),Assumptions!K$19/SUM(Assumptions!$D$19:$O$19)),IF(Assumptions!$B$5=1,Seasonal_Profile!I$8,Seasonal_Profile!I$10))))</f>
        <v/>
      </c>
      <c r="L10" s="35">
        <f>IF(SUM(Monthly_Override!$C10:$N10)&gt;0,Monthly_Override!K10/SUM(Monthly_Override!$C10:$N10),IF(Assumptions!$B$5=3,Seasonal_Profile!J$11,IF($C10=1,IF(Assumptions!$B$10=2,Assumptions!L$19*IF(Assumptions!$B$5=1,Seasonal_Profile!J$8,Seasonal_Profile!J$10)/IF(Assumptions!$B$5=1,SUMPRODUCT(Assumptions!$D$19:$O$19,Seasonal_Profile!$B$8:$M$8),SUMPRODUCT(Assumptions!$D$19:$O$19,Seasonal_Profile!$B$10:$M$10)),Assumptions!L$19/SUM(Assumptions!$D$19:$O$19)),IF(Assumptions!$B$5=1,Seasonal_Profile!J$8,Seasonal_Profile!J$10))))</f>
        <v/>
      </c>
      <c r="M10" s="35">
        <f>IF(SUM(Monthly_Override!$C10:$N10)&gt;0,Monthly_Override!L10/SUM(Monthly_Override!$C10:$N10),IF(Assumptions!$B$5=3,Seasonal_Profile!K$11,IF($C10=1,IF(Assumptions!$B$10=2,Assumptions!M$19*IF(Assumptions!$B$5=1,Seasonal_Profile!K$8,Seasonal_Profile!K$10)/IF(Assumptions!$B$5=1,SUMPRODUCT(Assumptions!$D$19:$O$19,Seasonal_Profile!$B$8:$M$8),SUMPRODUCT(Assumptions!$D$19:$O$19,Seasonal_Profile!$B$10:$M$10)),Assumptions!M$19/SUM(Assumptions!$D$19:$O$19)),IF(Assumptions!$B$5=1,Seasonal_Profile!K$8,Seasonal_Profile!K$10))))</f>
        <v/>
      </c>
      <c r="N10" s="35">
        <f>IF(SUM(Monthly_Override!$C10:$N10)&gt;0,Monthly_Override!M10/SUM(Monthly_Override!$C10:$N10),IF(Assumptions!$B$5=3,Seasonal_Profile!L$11,IF($C10=1,IF(Assumptions!$B$10=2,Assumptions!N$19*IF(Assumptions!$B$5=1,Seasonal_Profile!L$8,Seasonal_Profile!L$10)/IF(Assumptions!$B$5=1,SUMPRODUCT(Assumptions!$D$19:$O$19,Seasonal_Profile!$B$8:$M$8),SUMPRODUCT(Assumptions!$D$19:$O$19,Seasonal_Profile!$B$10:$M$10)),Assumptions!N$19/SUM(Assumptions!$D$19:$O$19)),IF(Assumptions!$B$5=1,Seasonal_Profile!L$8,Seasonal_Profile!L$10))))</f>
        <v/>
      </c>
      <c r="O10" s="35">
        <f>IF(SUM(Monthly_Override!$C10:$N10)&gt;0,Monthly_Override!N10/SUM(Monthly_Override!$C10:$N10),IF(Assumptions!$B$5=3,Seasonal_Profile!M$11,IF($C10=1,IF(Assumptions!$B$10=2,Assumptions!O$19*IF(Assumptions!$B$5=1,Seasonal_Profile!M$8,Seasonal_Profile!M$10)/IF(Assumptions!$B$5=1,SUMPRODUCT(Assumptions!$D$19:$O$19,Seasonal_Profile!$B$8:$M$8),SUMPRODUCT(Assumptions!$D$19:$O$19,Seasonal_Profile!$B$10:$M$10)),Assumptions!O$19/SUM(Assumptions!$D$19:$O$19)),IF(Assumptions!$B$5=1,Seasonal_Profile!M$8,Seasonal_Profile!M$10))))</f>
        <v/>
      </c>
      <c r="P10" s="36">
        <f>SUM(D10:O10)</f>
        <v/>
      </c>
    </row>
    <row r="11">
      <c r="A11" s="6" t="inlineStr">
        <is>
          <t>Alaminos City</t>
        </is>
      </c>
      <c r="B11" s="6" t="n">
        <v>2025</v>
      </c>
      <c r="C11" s="11">
        <f>Assumptions!C13</f>
        <v/>
      </c>
      <c r="D11" s="35">
        <f>IF(SUM(Monthly_Override!$C11:$N11)&gt;0,Monthly_Override!C11/SUM(Monthly_Override!$C11:$N11),IF(Assumptions!$B$5=3,Seasonal_Profile!B$11,IF($C11=1,IF(Assumptions!$B$10=2,Assumptions!D$13*IF(Assumptions!$B$5=1,Seasonal_Profile!B$9,Seasonal_Profile!B$10)/IF(Assumptions!$B$5=1,SUMPRODUCT(Assumptions!$D$13:$O$13,Seasonal_Profile!$B$9:$M$9),SUMPRODUCT(Assumptions!$D$13:$O$13,Seasonal_Profile!$B$10:$M$10)),Assumptions!D$13/SUM(Assumptions!$D$13:$O$13)),IF(Assumptions!$B$5=1,Seasonal_Profile!B$9,Seasonal_Profile!B$10))))</f>
        <v/>
      </c>
      <c r="E11" s="35">
        <f>IF(SUM(Monthly_Override!$C11:$N11)&gt;0,Monthly_Override!D11/SUM(Monthly_Override!$C11:$N11),IF(Assumptions!$B$5=3,Seasonal_Profile!C$11,IF($C11=1,IF(Assumptions!$B$10=2,Assumptions!E$13*IF(Assumptions!$B$5=1,Seasonal_Profile!C$9,Seasonal_Profile!C$10)/IF(Assumptions!$B$5=1,SUMPRODUCT(Assumptions!$D$13:$O$13,Seasonal_Profile!$B$9:$M$9),SUMPRODUCT(Assumptions!$D$13:$O$13,Seasonal_Profile!$B$10:$M$10)),Assumptions!E$13/SUM(Assumptions!$D$13:$O$13)),IF(Assumptions!$B$5=1,Seasonal_Profile!C$9,Seasonal_Profile!C$10))))</f>
        <v/>
      </c>
      <c r="F11" s="35">
        <f>IF(SUM(Monthly_Override!$C11:$N11)&gt;0,Monthly_Override!E11/SUM(Monthly_Override!$C11:$N11),IF(Assumptions!$B$5=3,Seasonal_Profile!D$11,IF($C11=1,IF(Assumptions!$B$10=2,Assumptions!F$13*IF(Assumptions!$B$5=1,Seasonal_Profile!D$9,Seasonal_Profile!D$10)/IF(Assumptions!$B$5=1,SUMPRODUCT(Assumptions!$D$13:$O$13,Seasonal_Profile!$B$9:$M$9),SUMPRODUCT(Assumptions!$D$13:$O$13,Seasonal_Profile!$B$10:$M$10)),Assumptions!F$13/SUM(Assumptions!$D$13:$O$13)),IF(Assumptions!$B$5=1,Seasonal_Profile!D$9,Seasonal_Profile!D$10))))</f>
        <v/>
      </c>
      <c r="G11" s="35">
        <f>IF(SUM(Monthly_Override!$C11:$N11)&gt;0,Monthly_Override!F11/SUM(Monthly_Override!$C11:$N11),IF(Assumptions!$B$5=3,Seasonal_Profile!E$11,IF($C11=1,IF(Assumptions!$B$10=2,Assumptions!G$13*IF(Assumptions!$B$5=1,Seasonal_Profile!E$9,Seasonal_Profile!E$10)/IF(Assumptions!$B$5=1,SUMPRODUCT(Assumptions!$D$13:$O$13,Seasonal_Profile!$B$9:$M$9),SUMPRODUCT(Assumptions!$D$13:$O$13,Seasonal_Profile!$B$10:$M$10)),Assumptions!G$13/SUM(Assumptions!$D$13:$O$13)),IF(Assumptions!$B$5=1,Seasonal_Profile!E$9,Seasonal_Profile!E$10))))</f>
        <v/>
      </c>
      <c r="H11" s="35">
        <f>IF(SUM(Monthly_Override!$C11:$N11)&gt;0,Monthly_Override!G11/SUM(Monthly_Override!$C11:$N11),IF(Assumptions!$B$5=3,Seasonal_Profile!F$11,IF($C11=1,IF(Assumptions!$B$10=2,Assumptions!H$13*IF(Assumptions!$B$5=1,Seasonal_Profile!F$9,Seasonal_Profile!F$10)/IF(Assumptions!$B$5=1,SUMPRODUCT(Assumptions!$D$13:$O$13,Seasonal_Profile!$B$9:$M$9),SUMPRODUCT(Assumptions!$D$13:$O$13,Seasonal_Profile!$B$10:$M$10)),Assumptions!H$13/SUM(Assumptions!$D$13:$O$13)),IF(Assumptions!$B$5=1,Seasonal_Profile!F$9,Seasonal_Profile!F$10))))</f>
        <v/>
      </c>
      <c r="I11" s="35">
        <f>IF(SUM(Monthly_Override!$C11:$N11)&gt;0,Monthly_Override!H11/SUM(Monthly_Override!$C11:$N11),IF(Assumptions!$B$5=3,Seasonal_Profile!G$11,IF($C11=1,IF(Assumptions!$B$10=2,Assumptions!I$13*IF(Assumptions!$B$5=1,Seasonal_Profile!G$9,Seasonal_Profile!G$10)/IF(Assumptions!$B$5=1,SUMPRODUCT(Assumptions!$D$13:$O$13,Seasonal_Profile!$B$9:$M$9),SUMPRODUCT(Assumptions!$D$13:$O$13,Seasonal_Profile!$B$10:$M$10)),Assumptions!I$13/SUM(Assumptions!$D$13:$O$13)),IF(Assumptions!$B$5=1,Seasonal_Profile!G$9,Seasonal_Profile!G$10))))</f>
        <v/>
      </c>
      <c r="J11" s="35">
        <f>IF(SUM(Monthly_Override!$C11:$N11)&gt;0,Monthly_Override!I11/SUM(Monthly_Override!$C11:$N11),IF(Assumptions!$B$5=3,Seasonal_Profile!H$11,IF($C11=1,IF(Assumptions!$B$10=2,Assumptions!J$13*IF(Assumptions!$B$5=1,Seasonal_Profile!H$9,Seasonal_Profile!H$10)/IF(Assumptions!$B$5=1,SUMPRODUCT(Assumptions!$D$13:$O$13,Seasonal_Profile!$B$9:$M$9),SUMPRODUCT(Assumptions!$D$13:$O$13,Seasonal_Profile!$B$10:$M$10)),Assumptions!J$13/SUM(Assumptions!$D$13:$O$13)),IF(Assumptions!$B$5=1,Seasonal_Profile!H$9,Seasonal_Profile!H$10))))</f>
        <v/>
      </c>
      <c r="K11" s="35">
        <f>IF(SUM(Monthly_Override!$C11:$N11)&gt;0,Monthly_Override!J11/SUM(Monthly_Override!$C11:$N11),IF(Assumptions!$B$5=3,Seasonal_Profile!I$11,IF($C11=1,IF(Assumptions!$B$10=2,Assumptions!K$13*IF(Assumptions!$B$5=1,Seasonal_Profile!I$9,Seasonal_Profile!I$10)/IF(Assumptions!$B$5=1,SUMPRODUCT(Assumptions!$D$13:$O$13,Seasonal_Profile!$B$9:$M$9),SUMPRODUCT(Assumptions!$D$13:$O$13,Seasonal_Profile!$B$10:$M$10)),Assumptions!K$13/SUM(Assumptions!$D$13:$O$13)),IF(Assumptions!$B$5=1,Seasonal_Profile!I$9,Seasonal_Profile!I$10))))</f>
        <v/>
      </c>
      <c r="L11" s="35">
        <f>IF(SUM(Monthly_Override!$C11:$N11)&gt;0,Monthly_Override!K11/SUM(Monthly_Override!$C11:$N11),IF(Assumptions!$B$5=3,Seasonal_Profile!J$11,IF($C11=1,IF(Assumptions!$B$10=2,Assumptions!L$13*IF(Assumptions!$B$5=1,Seasonal_Profile!J$9,Seasonal_Profile!J$10)/IF(Assumptions!$B$5=1,SUMPRODUCT(Assumptions!$D$13:$O$13,Seasonal_Profile!$B$9:$M$9),SUMPRODUCT(Assumptions!$D$13:$O$13,Seasonal_Profile!$B$10:$M$10)),Assumptions!L$13/SUM(Assumptions!$D$13:$O$13)),IF(Assumptions!$B$5=1,Seasonal_Profile!J$9,Seasonal_Profile!J$10))))</f>
        <v/>
      </c>
      <c r="M11" s="35">
        <f>IF(SUM(Monthly_Override!$C11:$N11)&gt;0,Monthly_Override!L11/SUM(Monthly_Override!$C11:$N11),IF(Assumptions!$B$5=3,Seasonal_Profile!K$11,IF($C11=1,IF(Assumptions!$B$10=2,Assumptions!M$13*IF(Assumptions!$B$5=1,Seasonal_Profile!K$9,Seasonal_Profile!K$10)/IF(Assumptions!$B$5=1,SUMPRODUCT(Assumptions!$D$13:$O$13,Seasonal_Profile!$B$9:$M$9),SUMPRODUCT(Assumptions!$D$13:$O$13,Seasonal_Profile!$B$10:$M$10)),Assumptions!M$13/SUM(Assumptions!$D$13:$O$13)),IF(Assumptions!$B$5=1,Seasonal_Profile!K$9,Seasonal_Profile!K$10))))</f>
        <v/>
      </c>
      <c r="N11" s="35">
        <f>IF(SUM(Monthly_Override!$C11:$N11)&gt;0,Monthly_Override!M11/SUM(Monthly_Override!$C11:$N11),IF(Assumptions!$B$5=3,Seasonal_Profile!L$11,IF($C11=1,IF(Assumptions!$B$10=2,Assumptions!N$13*IF(Assumptions!$B$5=1,Seasonal_Profile!L$9,Seasonal_Profile!L$10)/IF(Assumptions!$B$5=1,SUMPRODUCT(Assumptions!$D$13:$O$13,Seasonal_Profile!$B$9:$M$9),SUMPRODUCT(Assumptions!$D$13:$O$13,Seasonal_Profile!$B$10:$M$10)),Assumptions!N$13/SUM(Assumptions!$D$13:$O$13)),IF(Assumptions!$B$5=1,Seasonal_Profile!L$9,Seasonal_Profile!L$10))))</f>
        <v/>
      </c>
      <c r="O11" s="35">
        <f>IF(SUM(Monthly_Override!$C11:$N11)&gt;0,Monthly_Override!N11/SUM(Monthly_Override!$C11:$N11),IF(Assumptions!$B$5=3,Seasonal_Profile!M$11,IF($C11=1,IF(Assumptions!$B$10=2,Assumptions!O$13*IF(Assumptions!$B$5=1,Seasonal_Profile!M$9,Seasonal_Profile!M$10)/IF(Assumptions!$B$5=1,SUMPRODUCT(Assumptions!$D$13:$O$13,Seasonal_Profile!$B$9:$M$9),SUMPRODUCT(Assumptions!$D$13:$O$13,Seasonal_Profile!$B$10:$M$10)),Assumptions!O$13/SUM(Assumptions!$D$13:$O$13)),IF(Assumptions!$B$5=1,Seasonal_Profile!M$9,Seasonal_Profile!M$10))))</f>
        <v/>
      </c>
      <c r="P11" s="36">
        <f>SUM(D11:O11)</f>
        <v/>
      </c>
    </row>
    <row r="12">
      <c r="A12" s="6" t="inlineStr">
        <is>
          <t>Anda</t>
        </is>
      </c>
      <c r="B12" s="6" t="n">
        <v>2025</v>
      </c>
      <c r="C12" s="11">
        <f>Assumptions!C14</f>
        <v/>
      </c>
      <c r="D12" s="35">
        <f>IF(SUM(Monthly_Override!$C12:$N12)&gt;0,Monthly_Override!C12/SUM(Monthly_Override!$C12:$N12),IF(Assumptions!$B$5=3,Seasonal_Profile!B$11,IF($C12=1,IF(Assumptions!$B$10=2,Assumptions!D$14*IF(Assumptions!$B$5=1,Seasonal_Profile!B$9,Seasonal_Profile!B$10)/IF(Assumptions!$B$5=1,SUMPRODUCT(Assumptions!$D$14:$O$14,Seasonal_Profile!$B$9:$M$9),SUMPRODUCT(Assumptions!$D$14:$O$14,Seasonal_Profile!$B$10:$M$10)),Assumptions!D$14/SUM(Assumptions!$D$14:$O$14)),IF(Assumptions!$B$5=1,Seasonal_Profile!B$9,Seasonal_Profile!B$10))))</f>
        <v/>
      </c>
      <c r="E12" s="35">
        <f>IF(SUM(Monthly_Override!$C12:$N12)&gt;0,Monthly_Override!D12/SUM(Monthly_Override!$C12:$N12),IF(Assumptions!$B$5=3,Seasonal_Profile!C$11,IF($C12=1,IF(Assumptions!$B$10=2,Assumptions!E$14*IF(Assumptions!$B$5=1,Seasonal_Profile!C$9,Seasonal_Profile!C$10)/IF(Assumptions!$B$5=1,SUMPRODUCT(Assumptions!$D$14:$O$14,Seasonal_Profile!$B$9:$M$9),SUMPRODUCT(Assumptions!$D$14:$O$14,Seasonal_Profile!$B$10:$M$10)),Assumptions!E$14/SUM(Assumptions!$D$14:$O$14)),IF(Assumptions!$B$5=1,Seasonal_Profile!C$9,Seasonal_Profile!C$10))))</f>
        <v/>
      </c>
      <c r="F12" s="35">
        <f>IF(SUM(Monthly_Override!$C12:$N12)&gt;0,Monthly_Override!E12/SUM(Monthly_Override!$C12:$N12),IF(Assumptions!$B$5=3,Seasonal_Profile!D$11,IF($C12=1,IF(Assumptions!$B$10=2,Assumptions!F$14*IF(Assumptions!$B$5=1,Seasonal_Profile!D$9,Seasonal_Profile!D$10)/IF(Assumptions!$B$5=1,SUMPRODUCT(Assumptions!$D$14:$O$14,Seasonal_Profile!$B$9:$M$9),SUMPRODUCT(Assumptions!$D$14:$O$14,Seasonal_Profile!$B$10:$M$10)),Assumptions!F$14/SUM(Assumptions!$D$14:$O$14)),IF(Assumptions!$B$5=1,Seasonal_Profile!D$9,Seasonal_Profile!D$10))))</f>
        <v/>
      </c>
      <c r="G12" s="35">
        <f>IF(SUM(Monthly_Override!$C12:$N12)&gt;0,Monthly_Override!F12/SUM(Monthly_Override!$C12:$N12),IF(Assumptions!$B$5=3,Seasonal_Profile!E$11,IF($C12=1,IF(Assumptions!$B$10=2,Assumptions!G$14*IF(Assumptions!$B$5=1,Seasonal_Profile!E$9,Seasonal_Profile!E$10)/IF(Assumptions!$B$5=1,SUMPRODUCT(Assumptions!$D$14:$O$14,Seasonal_Profile!$B$9:$M$9),SUMPRODUCT(Assumptions!$D$14:$O$14,Seasonal_Profile!$B$10:$M$10)),Assumptions!G$14/SUM(Assumptions!$D$14:$O$14)),IF(Assumptions!$B$5=1,Seasonal_Profile!E$9,Seasonal_Profile!E$10))))</f>
        <v/>
      </c>
      <c r="H12" s="35">
        <f>IF(SUM(Monthly_Override!$C12:$N12)&gt;0,Monthly_Override!G12/SUM(Monthly_Override!$C12:$N12),IF(Assumptions!$B$5=3,Seasonal_Profile!F$11,IF($C12=1,IF(Assumptions!$B$10=2,Assumptions!H$14*IF(Assumptions!$B$5=1,Seasonal_Profile!F$9,Seasonal_Profile!F$10)/IF(Assumptions!$B$5=1,SUMPRODUCT(Assumptions!$D$14:$O$14,Seasonal_Profile!$B$9:$M$9),SUMPRODUCT(Assumptions!$D$14:$O$14,Seasonal_Profile!$B$10:$M$10)),Assumptions!H$14/SUM(Assumptions!$D$14:$O$14)),IF(Assumptions!$B$5=1,Seasonal_Profile!F$9,Seasonal_Profile!F$10))))</f>
        <v/>
      </c>
      <c r="I12" s="35">
        <f>IF(SUM(Monthly_Override!$C12:$N12)&gt;0,Monthly_Override!H12/SUM(Monthly_Override!$C12:$N12),IF(Assumptions!$B$5=3,Seasonal_Profile!G$11,IF($C12=1,IF(Assumptions!$B$10=2,Assumptions!I$14*IF(Assumptions!$B$5=1,Seasonal_Profile!G$9,Seasonal_Profile!G$10)/IF(Assumptions!$B$5=1,SUMPRODUCT(Assumptions!$D$14:$O$14,Seasonal_Profile!$B$9:$M$9),SUMPRODUCT(Assumptions!$D$14:$O$14,Seasonal_Profile!$B$10:$M$10)),Assumptions!I$14/SUM(Assumptions!$D$14:$O$14)),IF(Assumptions!$B$5=1,Seasonal_Profile!G$9,Seasonal_Profile!G$10))))</f>
        <v/>
      </c>
      <c r="J12" s="35">
        <f>IF(SUM(Monthly_Override!$C12:$N12)&gt;0,Monthly_Override!I12/SUM(Monthly_Override!$C12:$N12),IF(Assumptions!$B$5=3,Seasonal_Profile!H$11,IF($C12=1,IF(Assumptions!$B$10=2,Assumptions!J$14*IF(Assumptions!$B$5=1,Seasonal_Profile!H$9,Seasonal_Profile!H$10)/IF(Assumptions!$B$5=1,SUMPRODUCT(Assumptions!$D$14:$O$14,Seasonal_Profile!$B$9:$M$9),SUMPRODUCT(Assumptions!$D$14:$O$14,Seasonal_Profile!$B$10:$M$10)),Assumptions!J$14/SUM(Assumptions!$D$14:$O$14)),IF(Assumptions!$B$5=1,Seasonal_Profile!H$9,Seasonal_Profile!H$10))))</f>
        <v/>
      </c>
      <c r="K12" s="35">
        <f>IF(SUM(Monthly_Override!$C12:$N12)&gt;0,Monthly_Override!J12/SUM(Monthly_Override!$C12:$N12),IF(Assumptions!$B$5=3,Seasonal_Profile!I$11,IF($C12=1,IF(Assumptions!$B$10=2,Assumptions!K$14*IF(Assumptions!$B$5=1,Seasonal_Profile!I$9,Seasonal_Profile!I$10)/IF(Assumptions!$B$5=1,SUMPRODUCT(Assumptions!$D$14:$O$14,Seasonal_Profile!$B$9:$M$9),SUMPRODUCT(Assumptions!$D$14:$O$14,Seasonal_Profile!$B$10:$M$10)),Assumptions!K$14/SUM(Assumptions!$D$14:$O$14)),IF(Assumptions!$B$5=1,Seasonal_Profile!I$9,Seasonal_Profile!I$10))))</f>
        <v/>
      </c>
      <c r="L12" s="35">
        <f>IF(SUM(Monthly_Override!$C12:$N12)&gt;0,Monthly_Override!K12/SUM(Monthly_Override!$C12:$N12),IF(Assumptions!$B$5=3,Seasonal_Profile!J$11,IF($C12=1,IF(Assumptions!$B$10=2,Assumptions!L$14*IF(Assumptions!$B$5=1,Seasonal_Profile!J$9,Seasonal_Profile!J$10)/IF(Assumptions!$B$5=1,SUMPRODUCT(Assumptions!$D$14:$O$14,Seasonal_Profile!$B$9:$M$9),SUMPRODUCT(Assumptions!$D$14:$O$14,Seasonal_Profile!$B$10:$M$10)),Assumptions!L$14/SUM(Assumptions!$D$14:$O$14)),IF(Assumptions!$B$5=1,Seasonal_Profile!J$9,Seasonal_Profile!J$10))))</f>
        <v/>
      </c>
      <c r="M12" s="35">
        <f>IF(SUM(Monthly_Override!$C12:$N12)&gt;0,Monthly_Override!L12/SUM(Monthly_Override!$C12:$N12),IF(Assumptions!$B$5=3,Seasonal_Profile!K$11,IF($C12=1,IF(Assumptions!$B$10=2,Assumptions!M$14*IF(Assumptions!$B$5=1,Seasonal_Profile!K$9,Seasonal_Profile!K$10)/IF(Assumptions!$B$5=1,SUMPRODUCT(Assumptions!$D$14:$O$14,Seasonal_Profile!$B$9:$M$9),SUMPRODUCT(Assumptions!$D$14:$O$14,Seasonal_Profile!$B$10:$M$10)),Assumptions!M$14/SUM(Assumptions!$D$14:$O$14)),IF(Assumptions!$B$5=1,Seasonal_Profile!K$9,Seasonal_Profile!K$10))))</f>
        <v/>
      </c>
      <c r="N12" s="35">
        <f>IF(SUM(Monthly_Override!$C12:$N12)&gt;0,Monthly_Override!M12/SUM(Monthly_Override!$C12:$N12),IF(Assumptions!$B$5=3,Seasonal_Profile!L$11,IF($C12=1,IF(Assumptions!$B$10=2,Assumptions!N$14*IF(Assumptions!$B$5=1,Seasonal_Profile!L$9,Seasonal_Profile!L$10)/IF(Assumptions!$B$5=1,SUMPRODUCT(Assumptions!$D$14:$O$14,Seasonal_Profile!$B$9:$M$9),SUMPRODUCT(Assumptions!$D$14:$O$14,Seasonal_Profile!$B$10:$M$10)),Assumptions!N$14/SUM(Assumptions!$D$14:$O$14)),IF(Assumptions!$B$5=1,Seasonal_Profile!L$9,Seasonal_Profile!L$10))))</f>
        <v/>
      </c>
      <c r="O12" s="35">
        <f>IF(SUM(Monthly_Override!$C12:$N12)&gt;0,Monthly_Override!N12/SUM(Monthly_Override!$C12:$N12),IF(Assumptions!$B$5=3,Seasonal_Profile!M$11,IF($C12=1,IF(Assumptions!$B$10=2,Assumptions!O$14*IF(Assumptions!$B$5=1,Seasonal_Profile!M$9,Seasonal_Profile!M$10)/IF(Assumptions!$B$5=1,SUMPRODUCT(Assumptions!$D$14:$O$14,Seasonal_Profile!$B$9:$M$9),SUMPRODUCT(Assumptions!$D$14:$O$14,Seasonal_Profile!$B$10:$M$10)),Assumptions!O$14/SUM(Assumptions!$D$14:$O$14)),IF(Assumptions!$B$5=1,Seasonal_Profile!M$9,Seasonal_Profile!M$10))))</f>
        <v/>
      </c>
      <c r="P12" s="36">
        <f>SUM(D12:O12)</f>
        <v/>
      </c>
    </row>
    <row r="13">
      <c r="A13" s="6" t="inlineStr">
        <is>
          <t>Bani</t>
        </is>
      </c>
      <c r="B13" s="6" t="n">
        <v>2025</v>
      </c>
      <c r="C13" s="11">
        <f>Assumptions!C15</f>
        <v/>
      </c>
      <c r="D13" s="35">
        <f>IF(SUM(Monthly_Override!$C13:$N13)&gt;0,Monthly_Override!C13/SUM(Monthly_Override!$C13:$N13),IF(Assumptions!$B$5=3,Seasonal_Profile!B$11,IF($C13=1,IF(Assumptions!$B$10=2,Assumptions!D$15*IF(Assumptions!$B$5=1,Seasonal_Profile!B$9,Seasonal_Profile!B$10)/IF(Assumptions!$B$5=1,SUMPRODUCT(Assumptions!$D$15:$O$15,Seasonal_Profile!$B$9:$M$9),SUMPRODUCT(Assumptions!$D$15:$O$15,Seasonal_Profile!$B$10:$M$10)),Assumptions!D$15/SUM(Assumptions!$D$15:$O$15)),IF(Assumptions!$B$5=1,Seasonal_Profile!B$9,Seasonal_Profile!B$10))))</f>
        <v/>
      </c>
      <c r="E13" s="35">
        <f>IF(SUM(Monthly_Override!$C13:$N13)&gt;0,Monthly_Override!D13/SUM(Monthly_Override!$C13:$N13),IF(Assumptions!$B$5=3,Seasonal_Profile!C$11,IF($C13=1,IF(Assumptions!$B$10=2,Assumptions!E$15*IF(Assumptions!$B$5=1,Seasonal_Profile!C$9,Seasonal_Profile!C$10)/IF(Assumptions!$B$5=1,SUMPRODUCT(Assumptions!$D$15:$O$15,Seasonal_Profile!$B$9:$M$9),SUMPRODUCT(Assumptions!$D$15:$O$15,Seasonal_Profile!$B$10:$M$10)),Assumptions!E$15/SUM(Assumptions!$D$15:$O$15)),IF(Assumptions!$B$5=1,Seasonal_Profile!C$9,Seasonal_Profile!C$10))))</f>
        <v/>
      </c>
      <c r="F13" s="35">
        <f>IF(SUM(Monthly_Override!$C13:$N13)&gt;0,Monthly_Override!E13/SUM(Monthly_Override!$C13:$N13),IF(Assumptions!$B$5=3,Seasonal_Profile!D$11,IF($C13=1,IF(Assumptions!$B$10=2,Assumptions!F$15*IF(Assumptions!$B$5=1,Seasonal_Profile!D$9,Seasonal_Profile!D$10)/IF(Assumptions!$B$5=1,SUMPRODUCT(Assumptions!$D$15:$O$15,Seasonal_Profile!$B$9:$M$9),SUMPRODUCT(Assumptions!$D$15:$O$15,Seasonal_Profile!$B$10:$M$10)),Assumptions!F$15/SUM(Assumptions!$D$15:$O$15)),IF(Assumptions!$B$5=1,Seasonal_Profile!D$9,Seasonal_Profile!D$10))))</f>
        <v/>
      </c>
      <c r="G13" s="35">
        <f>IF(SUM(Monthly_Override!$C13:$N13)&gt;0,Monthly_Override!F13/SUM(Monthly_Override!$C13:$N13),IF(Assumptions!$B$5=3,Seasonal_Profile!E$11,IF($C13=1,IF(Assumptions!$B$10=2,Assumptions!G$15*IF(Assumptions!$B$5=1,Seasonal_Profile!E$9,Seasonal_Profile!E$10)/IF(Assumptions!$B$5=1,SUMPRODUCT(Assumptions!$D$15:$O$15,Seasonal_Profile!$B$9:$M$9),SUMPRODUCT(Assumptions!$D$15:$O$15,Seasonal_Profile!$B$10:$M$10)),Assumptions!G$15/SUM(Assumptions!$D$15:$O$15)),IF(Assumptions!$B$5=1,Seasonal_Profile!E$9,Seasonal_Profile!E$10))))</f>
        <v/>
      </c>
      <c r="H13" s="35">
        <f>IF(SUM(Monthly_Override!$C13:$N13)&gt;0,Monthly_Override!G13/SUM(Monthly_Override!$C13:$N13),IF(Assumptions!$B$5=3,Seasonal_Profile!F$11,IF($C13=1,IF(Assumptions!$B$10=2,Assumptions!H$15*IF(Assumptions!$B$5=1,Seasonal_Profile!F$9,Seasonal_Profile!F$10)/IF(Assumptions!$B$5=1,SUMPRODUCT(Assumptions!$D$15:$O$15,Seasonal_Profile!$B$9:$M$9),SUMPRODUCT(Assumptions!$D$15:$O$15,Seasonal_Profile!$B$10:$M$10)),Assumptions!H$15/SUM(Assumptions!$D$15:$O$15)),IF(Assumptions!$B$5=1,Seasonal_Profile!F$9,Seasonal_Profile!F$10))))</f>
        <v/>
      </c>
      <c r="I13" s="35">
        <f>IF(SUM(Monthly_Override!$C13:$N13)&gt;0,Monthly_Override!H13/SUM(Monthly_Override!$C13:$N13),IF(Assumptions!$B$5=3,Seasonal_Profile!G$11,IF($C13=1,IF(Assumptions!$B$10=2,Assumptions!I$15*IF(Assumptions!$B$5=1,Seasonal_Profile!G$9,Seasonal_Profile!G$10)/IF(Assumptions!$B$5=1,SUMPRODUCT(Assumptions!$D$15:$O$15,Seasonal_Profile!$B$9:$M$9),SUMPRODUCT(Assumptions!$D$15:$O$15,Seasonal_Profile!$B$10:$M$10)),Assumptions!I$15/SUM(Assumptions!$D$15:$O$15)),IF(Assumptions!$B$5=1,Seasonal_Profile!G$9,Seasonal_Profile!G$10))))</f>
        <v/>
      </c>
      <c r="J13" s="35">
        <f>IF(SUM(Monthly_Override!$C13:$N13)&gt;0,Monthly_Override!I13/SUM(Monthly_Override!$C13:$N13),IF(Assumptions!$B$5=3,Seasonal_Profile!H$11,IF($C13=1,IF(Assumptions!$B$10=2,Assumptions!J$15*IF(Assumptions!$B$5=1,Seasonal_Profile!H$9,Seasonal_Profile!H$10)/IF(Assumptions!$B$5=1,SUMPRODUCT(Assumptions!$D$15:$O$15,Seasonal_Profile!$B$9:$M$9),SUMPRODUCT(Assumptions!$D$15:$O$15,Seasonal_Profile!$B$10:$M$10)),Assumptions!J$15/SUM(Assumptions!$D$15:$O$15)),IF(Assumptions!$B$5=1,Seasonal_Profile!H$9,Seasonal_Profile!H$10))))</f>
        <v/>
      </c>
      <c r="K13" s="35">
        <f>IF(SUM(Monthly_Override!$C13:$N13)&gt;0,Monthly_Override!J13/SUM(Monthly_Override!$C13:$N13),IF(Assumptions!$B$5=3,Seasonal_Profile!I$11,IF($C13=1,IF(Assumptions!$B$10=2,Assumptions!K$15*IF(Assumptions!$B$5=1,Seasonal_Profile!I$9,Seasonal_Profile!I$10)/IF(Assumptions!$B$5=1,SUMPRODUCT(Assumptions!$D$15:$O$15,Seasonal_Profile!$B$9:$M$9),SUMPRODUCT(Assumptions!$D$15:$O$15,Seasonal_Profile!$B$10:$M$10)),Assumptions!K$15/SUM(Assumptions!$D$15:$O$15)),IF(Assumptions!$B$5=1,Seasonal_Profile!I$9,Seasonal_Profile!I$10))))</f>
        <v/>
      </c>
      <c r="L13" s="35">
        <f>IF(SUM(Monthly_Override!$C13:$N13)&gt;0,Monthly_Override!K13/SUM(Monthly_Override!$C13:$N13),IF(Assumptions!$B$5=3,Seasonal_Profile!J$11,IF($C13=1,IF(Assumptions!$B$10=2,Assumptions!L$15*IF(Assumptions!$B$5=1,Seasonal_Profile!J$9,Seasonal_Profile!J$10)/IF(Assumptions!$B$5=1,SUMPRODUCT(Assumptions!$D$15:$O$15,Seasonal_Profile!$B$9:$M$9),SUMPRODUCT(Assumptions!$D$15:$O$15,Seasonal_Profile!$B$10:$M$10)),Assumptions!L$15/SUM(Assumptions!$D$15:$O$15)),IF(Assumptions!$B$5=1,Seasonal_Profile!J$9,Seasonal_Profile!J$10))))</f>
        <v/>
      </c>
      <c r="M13" s="35">
        <f>IF(SUM(Monthly_Override!$C13:$N13)&gt;0,Monthly_Override!L13/SUM(Monthly_Override!$C13:$N13),IF(Assumptions!$B$5=3,Seasonal_Profile!K$11,IF($C13=1,IF(Assumptions!$B$10=2,Assumptions!M$15*IF(Assumptions!$B$5=1,Seasonal_Profile!K$9,Seasonal_Profile!K$10)/IF(Assumptions!$B$5=1,SUMPRODUCT(Assumptions!$D$15:$O$15,Seasonal_Profile!$B$9:$M$9),SUMPRODUCT(Assumptions!$D$15:$O$15,Seasonal_Profile!$B$10:$M$10)),Assumptions!M$15/SUM(Assumptions!$D$15:$O$15)),IF(Assumptions!$B$5=1,Seasonal_Profile!K$9,Seasonal_Profile!K$10))))</f>
        <v/>
      </c>
      <c r="N13" s="35">
        <f>IF(SUM(Monthly_Override!$C13:$N13)&gt;0,Monthly_Override!M13/SUM(Monthly_Override!$C13:$N13),IF(Assumptions!$B$5=3,Seasonal_Profile!L$11,IF($C13=1,IF(Assumptions!$B$10=2,Assumptions!N$15*IF(Assumptions!$B$5=1,Seasonal_Profile!L$9,Seasonal_Profile!L$10)/IF(Assumptions!$B$5=1,SUMPRODUCT(Assumptions!$D$15:$O$15,Seasonal_Profile!$B$9:$M$9),SUMPRODUCT(Assumptions!$D$15:$O$15,Seasonal_Profile!$B$10:$M$10)),Assumptions!N$15/SUM(Assumptions!$D$15:$O$15)),IF(Assumptions!$B$5=1,Seasonal_Profile!L$9,Seasonal_Profile!L$10))))</f>
        <v/>
      </c>
      <c r="O13" s="35">
        <f>IF(SUM(Monthly_Override!$C13:$N13)&gt;0,Monthly_Override!N13/SUM(Monthly_Override!$C13:$N13),IF(Assumptions!$B$5=3,Seasonal_Profile!M$11,IF($C13=1,IF(Assumptions!$B$10=2,Assumptions!O$15*IF(Assumptions!$B$5=1,Seasonal_Profile!M$9,Seasonal_Profile!M$10)/IF(Assumptions!$B$5=1,SUMPRODUCT(Assumptions!$D$15:$O$15,Seasonal_Profile!$B$9:$M$9),SUMPRODUCT(Assumptions!$D$15:$O$15,Seasonal_Profile!$B$10:$M$10)),Assumptions!O$15/SUM(Assumptions!$D$15:$O$15)),IF(Assumptions!$B$5=1,Seasonal_Profile!M$9,Seasonal_Profile!M$10))))</f>
        <v/>
      </c>
      <c r="P13" s="36">
        <f>SUM(D13:O13)</f>
        <v/>
      </c>
    </row>
    <row r="14">
      <c r="A14" s="6" t="inlineStr">
        <is>
          <t>Bolinao</t>
        </is>
      </c>
      <c r="B14" s="6" t="n">
        <v>2025</v>
      </c>
      <c r="C14" s="11">
        <f>Assumptions!C16</f>
        <v/>
      </c>
      <c r="D14" s="35">
        <f>IF(SUM(Monthly_Override!$C14:$N14)&gt;0,Monthly_Override!C14/SUM(Monthly_Override!$C14:$N14),IF(Assumptions!$B$5=3,Seasonal_Profile!B$11,IF($C14=1,IF(Assumptions!$B$10=2,Assumptions!D$16*IF(Assumptions!$B$5=1,Seasonal_Profile!B$9,Seasonal_Profile!B$10)/IF(Assumptions!$B$5=1,SUMPRODUCT(Assumptions!$D$16:$O$16,Seasonal_Profile!$B$9:$M$9),SUMPRODUCT(Assumptions!$D$16:$O$16,Seasonal_Profile!$B$10:$M$10)),Assumptions!D$16/SUM(Assumptions!$D$16:$O$16)),IF(Assumptions!$B$5=1,Seasonal_Profile!B$9,Seasonal_Profile!B$10))))</f>
        <v/>
      </c>
      <c r="E14" s="35">
        <f>IF(SUM(Monthly_Override!$C14:$N14)&gt;0,Monthly_Override!D14/SUM(Monthly_Override!$C14:$N14),IF(Assumptions!$B$5=3,Seasonal_Profile!C$11,IF($C14=1,IF(Assumptions!$B$10=2,Assumptions!E$16*IF(Assumptions!$B$5=1,Seasonal_Profile!C$9,Seasonal_Profile!C$10)/IF(Assumptions!$B$5=1,SUMPRODUCT(Assumptions!$D$16:$O$16,Seasonal_Profile!$B$9:$M$9),SUMPRODUCT(Assumptions!$D$16:$O$16,Seasonal_Profile!$B$10:$M$10)),Assumptions!E$16/SUM(Assumptions!$D$16:$O$16)),IF(Assumptions!$B$5=1,Seasonal_Profile!C$9,Seasonal_Profile!C$10))))</f>
        <v/>
      </c>
      <c r="F14" s="35">
        <f>IF(SUM(Monthly_Override!$C14:$N14)&gt;0,Monthly_Override!E14/SUM(Monthly_Override!$C14:$N14),IF(Assumptions!$B$5=3,Seasonal_Profile!D$11,IF($C14=1,IF(Assumptions!$B$10=2,Assumptions!F$16*IF(Assumptions!$B$5=1,Seasonal_Profile!D$9,Seasonal_Profile!D$10)/IF(Assumptions!$B$5=1,SUMPRODUCT(Assumptions!$D$16:$O$16,Seasonal_Profile!$B$9:$M$9),SUMPRODUCT(Assumptions!$D$16:$O$16,Seasonal_Profile!$B$10:$M$10)),Assumptions!F$16/SUM(Assumptions!$D$16:$O$16)),IF(Assumptions!$B$5=1,Seasonal_Profile!D$9,Seasonal_Profile!D$10))))</f>
        <v/>
      </c>
      <c r="G14" s="35">
        <f>IF(SUM(Monthly_Override!$C14:$N14)&gt;0,Monthly_Override!F14/SUM(Monthly_Override!$C14:$N14),IF(Assumptions!$B$5=3,Seasonal_Profile!E$11,IF($C14=1,IF(Assumptions!$B$10=2,Assumptions!G$16*IF(Assumptions!$B$5=1,Seasonal_Profile!E$9,Seasonal_Profile!E$10)/IF(Assumptions!$B$5=1,SUMPRODUCT(Assumptions!$D$16:$O$16,Seasonal_Profile!$B$9:$M$9),SUMPRODUCT(Assumptions!$D$16:$O$16,Seasonal_Profile!$B$10:$M$10)),Assumptions!G$16/SUM(Assumptions!$D$16:$O$16)),IF(Assumptions!$B$5=1,Seasonal_Profile!E$9,Seasonal_Profile!E$10))))</f>
        <v/>
      </c>
      <c r="H14" s="35">
        <f>IF(SUM(Monthly_Override!$C14:$N14)&gt;0,Monthly_Override!G14/SUM(Monthly_Override!$C14:$N14),IF(Assumptions!$B$5=3,Seasonal_Profile!F$11,IF($C14=1,IF(Assumptions!$B$10=2,Assumptions!H$16*IF(Assumptions!$B$5=1,Seasonal_Profile!F$9,Seasonal_Profile!F$10)/IF(Assumptions!$B$5=1,SUMPRODUCT(Assumptions!$D$16:$O$16,Seasonal_Profile!$B$9:$M$9),SUMPRODUCT(Assumptions!$D$16:$O$16,Seasonal_Profile!$B$10:$M$10)),Assumptions!H$16/SUM(Assumptions!$D$16:$O$16)),IF(Assumptions!$B$5=1,Seasonal_Profile!F$9,Seasonal_Profile!F$10))))</f>
        <v/>
      </c>
      <c r="I14" s="35">
        <f>IF(SUM(Monthly_Override!$C14:$N14)&gt;0,Monthly_Override!H14/SUM(Monthly_Override!$C14:$N14),IF(Assumptions!$B$5=3,Seasonal_Profile!G$11,IF($C14=1,IF(Assumptions!$B$10=2,Assumptions!I$16*IF(Assumptions!$B$5=1,Seasonal_Profile!G$9,Seasonal_Profile!G$10)/IF(Assumptions!$B$5=1,SUMPRODUCT(Assumptions!$D$16:$O$16,Seasonal_Profile!$B$9:$M$9),SUMPRODUCT(Assumptions!$D$16:$O$16,Seasonal_Profile!$B$10:$M$10)),Assumptions!I$16/SUM(Assumptions!$D$16:$O$16)),IF(Assumptions!$B$5=1,Seasonal_Profile!G$9,Seasonal_Profile!G$10))))</f>
        <v/>
      </c>
      <c r="J14" s="35">
        <f>IF(SUM(Monthly_Override!$C14:$N14)&gt;0,Monthly_Override!I14/SUM(Monthly_Override!$C14:$N14),IF(Assumptions!$B$5=3,Seasonal_Profile!H$11,IF($C14=1,IF(Assumptions!$B$10=2,Assumptions!J$16*IF(Assumptions!$B$5=1,Seasonal_Profile!H$9,Seasonal_Profile!H$10)/IF(Assumptions!$B$5=1,SUMPRODUCT(Assumptions!$D$16:$O$16,Seasonal_Profile!$B$9:$M$9),SUMPRODUCT(Assumptions!$D$16:$O$16,Seasonal_Profile!$B$10:$M$10)),Assumptions!J$16/SUM(Assumptions!$D$16:$O$16)),IF(Assumptions!$B$5=1,Seasonal_Profile!H$9,Seasonal_Profile!H$10))))</f>
        <v/>
      </c>
      <c r="K14" s="35">
        <f>IF(SUM(Monthly_Override!$C14:$N14)&gt;0,Monthly_Override!J14/SUM(Monthly_Override!$C14:$N14),IF(Assumptions!$B$5=3,Seasonal_Profile!I$11,IF($C14=1,IF(Assumptions!$B$10=2,Assumptions!K$16*IF(Assumptions!$B$5=1,Seasonal_Profile!I$9,Seasonal_Profile!I$10)/IF(Assumptions!$B$5=1,SUMPRODUCT(Assumptions!$D$16:$O$16,Seasonal_Profile!$B$9:$M$9),SUMPRODUCT(Assumptions!$D$16:$O$16,Seasonal_Profile!$B$10:$M$10)),Assumptions!K$16/SUM(Assumptions!$D$16:$O$16)),IF(Assumptions!$B$5=1,Seasonal_Profile!I$9,Seasonal_Profile!I$10))))</f>
        <v/>
      </c>
      <c r="L14" s="35">
        <f>IF(SUM(Monthly_Override!$C14:$N14)&gt;0,Monthly_Override!K14/SUM(Monthly_Override!$C14:$N14),IF(Assumptions!$B$5=3,Seasonal_Profile!J$11,IF($C14=1,IF(Assumptions!$B$10=2,Assumptions!L$16*IF(Assumptions!$B$5=1,Seasonal_Profile!J$9,Seasonal_Profile!J$10)/IF(Assumptions!$B$5=1,SUMPRODUCT(Assumptions!$D$16:$O$16,Seasonal_Profile!$B$9:$M$9),SUMPRODUCT(Assumptions!$D$16:$O$16,Seasonal_Profile!$B$10:$M$10)),Assumptions!L$16/SUM(Assumptions!$D$16:$O$16)),IF(Assumptions!$B$5=1,Seasonal_Profile!J$9,Seasonal_Profile!J$10))))</f>
        <v/>
      </c>
      <c r="M14" s="35">
        <f>IF(SUM(Monthly_Override!$C14:$N14)&gt;0,Monthly_Override!L14/SUM(Monthly_Override!$C14:$N14),IF(Assumptions!$B$5=3,Seasonal_Profile!K$11,IF($C14=1,IF(Assumptions!$B$10=2,Assumptions!M$16*IF(Assumptions!$B$5=1,Seasonal_Profile!K$9,Seasonal_Profile!K$10)/IF(Assumptions!$B$5=1,SUMPRODUCT(Assumptions!$D$16:$O$16,Seasonal_Profile!$B$9:$M$9),SUMPRODUCT(Assumptions!$D$16:$O$16,Seasonal_Profile!$B$10:$M$10)),Assumptions!M$16/SUM(Assumptions!$D$16:$O$16)),IF(Assumptions!$B$5=1,Seasonal_Profile!K$9,Seasonal_Profile!K$10))))</f>
        <v/>
      </c>
      <c r="N14" s="35">
        <f>IF(SUM(Monthly_Override!$C14:$N14)&gt;0,Monthly_Override!M14/SUM(Monthly_Override!$C14:$N14),IF(Assumptions!$B$5=3,Seasonal_Profile!L$11,IF($C14=1,IF(Assumptions!$B$10=2,Assumptions!N$16*IF(Assumptions!$B$5=1,Seasonal_Profile!L$9,Seasonal_Profile!L$10)/IF(Assumptions!$B$5=1,SUMPRODUCT(Assumptions!$D$16:$O$16,Seasonal_Profile!$B$9:$M$9),SUMPRODUCT(Assumptions!$D$16:$O$16,Seasonal_Profile!$B$10:$M$10)),Assumptions!N$16/SUM(Assumptions!$D$16:$O$16)),IF(Assumptions!$B$5=1,Seasonal_Profile!L$9,Seasonal_Profile!L$10))))</f>
        <v/>
      </c>
      <c r="O14" s="35">
        <f>IF(SUM(Monthly_Override!$C14:$N14)&gt;0,Monthly_Override!N14/SUM(Monthly_Override!$C14:$N14),IF(Assumptions!$B$5=3,Seasonal_Profile!M$11,IF($C14=1,IF(Assumptions!$B$10=2,Assumptions!O$16*IF(Assumptions!$B$5=1,Seasonal_Profile!M$9,Seasonal_Profile!M$10)/IF(Assumptions!$B$5=1,SUMPRODUCT(Assumptions!$D$16:$O$16,Seasonal_Profile!$B$9:$M$9),SUMPRODUCT(Assumptions!$D$16:$O$16,Seasonal_Profile!$B$10:$M$10)),Assumptions!O$16/SUM(Assumptions!$D$16:$O$16)),IF(Assumptions!$B$5=1,Seasonal_Profile!M$9,Seasonal_Profile!M$10))))</f>
        <v/>
      </c>
      <c r="P14" s="36">
        <f>SUM(D14:O14)</f>
        <v/>
      </c>
    </row>
    <row r="15">
      <c r="A15" s="6" t="inlineStr">
        <is>
          <t>Dasol</t>
        </is>
      </c>
      <c r="B15" s="6" t="n">
        <v>2025</v>
      </c>
      <c r="C15" s="11">
        <f>Assumptions!C17</f>
        <v/>
      </c>
      <c r="D15" s="35">
        <f>IF(SUM(Monthly_Override!$C15:$N15)&gt;0,Monthly_Override!C15/SUM(Monthly_Override!$C15:$N15),IF(Assumptions!$B$5=3,Seasonal_Profile!B$11,IF($C15=1,IF(Assumptions!$B$10=2,Assumptions!D$17*IF(Assumptions!$B$5=1,Seasonal_Profile!B$9,Seasonal_Profile!B$10)/IF(Assumptions!$B$5=1,SUMPRODUCT(Assumptions!$D$17:$O$17,Seasonal_Profile!$B$9:$M$9),SUMPRODUCT(Assumptions!$D$17:$O$17,Seasonal_Profile!$B$10:$M$10)),Assumptions!D$17/SUM(Assumptions!$D$17:$O$17)),IF(Assumptions!$B$5=1,Seasonal_Profile!B$9,Seasonal_Profile!B$10))))</f>
        <v/>
      </c>
      <c r="E15" s="35">
        <f>IF(SUM(Monthly_Override!$C15:$N15)&gt;0,Monthly_Override!D15/SUM(Monthly_Override!$C15:$N15),IF(Assumptions!$B$5=3,Seasonal_Profile!C$11,IF($C15=1,IF(Assumptions!$B$10=2,Assumptions!E$17*IF(Assumptions!$B$5=1,Seasonal_Profile!C$9,Seasonal_Profile!C$10)/IF(Assumptions!$B$5=1,SUMPRODUCT(Assumptions!$D$17:$O$17,Seasonal_Profile!$B$9:$M$9),SUMPRODUCT(Assumptions!$D$17:$O$17,Seasonal_Profile!$B$10:$M$10)),Assumptions!E$17/SUM(Assumptions!$D$17:$O$17)),IF(Assumptions!$B$5=1,Seasonal_Profile!C$9,Seasonal_Profile!C$10))))</f>
        <v/>
      </c>
      <c r="F15" s="35">
        <f>IF(SUM(Monthly_Override!$C15:$N15)&gt;0,Monthly_Override!E15/SUM(Monthly_Override!$C15:$N15),IF(Assumptions!$B$5=3,Seasonal_Profile!D$11,IF($C15=1,IF(Assumptions!$B$10=2,Assumptions!F$17*IF(Assumptions!$B$5=1,Seasonal_Profile!D$9,Seasonal_Profile!D$10)/IF(Assumptions!$B$5=1,SUMPRODUCT(Assumptions!$D$17:$O$17,Seasonal_Profile!$B$9:$M$9),SUMPRODUCT(Assumptions!$D$17:$O$17,Seasonal_Profile!$B$10:$M$10)),Assumptions!F$17/SUM(Assumptions!$D$17:$O$17)),IF(Assumptions!$B$5=1,Seasonal_Profile!D$9,Seasonal_Profile!D$10))))</f>
        <v/>
      </c>
      <c r="G15" s="35">
        <f>IF(SUM(Monthly_Override!$C15:$N15)&gt;0,Monthly_Override!F15/SUM(Monthly_Override!$C15:$N15),IF(Assumptions!$B$5=3,Seasonal_Profile!E$11,IF($C15=1,IF(Assumptions!$B$10=2,Assumptions!G$17*IF(Assumptions!$B$5=1,Seasonal_Profile!E$9,Seasonal_Profile!E$10)/IF(Assumptions!$B$5=1,SUMPRODUCT(Assumptions!$D$17:$O$17,Seasonal_Profile!$B$9:$M$9),SUMPRODUCT(Assumptions!$D$17:$O$17,Seasonal_Profile!$B$10:$M$10)),Assumptions!G$17/SUM(Assumptions!$D$17:$O$17)),IF(Assumptions!$B$5=1,Seasonal_Profile!E$9,Seasonal_Profile!E$10))))</f>
        <v/>
      </c>
      <c r="H15" s="35">
        <f>IF(SUM(Monthly_Override!$C15:$N15)&gt;0,Monthly_Override!G15/SUM(Monthly_Override!$C15:$N15),IF(Assumptions!$B$5=3,Seasonal_Profile!F$11,IF($C15=1,IF(Assumptions!$B$10=2,Assumptions!H$17*IF(Assumptions!$B$5=1,Seasonal_Profile!F$9,Seasonal_Profile!F$10)/IF(Assumptions!$B$5=1,SUMPRODUCT(Assumptions!$D$17:$O$17,Seasonal_Profile!$B$9:$M$9),SUMPRODUCT(Assumptions!$D$17:$O$17,Seasonal_Profile!$B$10:$M$10)),Assumptions!H$17/SUM(Assumptions!$D$17:$O$17)),IF(Assumptions!$B$5=1,Seasonal_Profile!F$9,Seasonal_Profile!F$10))))</f>
        <v/>
      </c>
      <c r="I15" s="35">
        <f>IF(SUM(Monthly_Override!$C15:$N15)&gt;0,Monthly_Override!H15/SUM(Monthly_Override!$C15:$N15),IF(Assumptions!$B$5=3,Seasonal_Profile!G$11,IF($C15=1,IF(Assumptions!$B$10=2,Assumptions!I$17*IF(Assumptions!$B$5=1,Seasonal_Profile!G$9,Seasonal_Profile!G$10)/IF(Assumptions!$B$5=1,SUMPRODUCT(Assumptions!$D$17:$O$17,Seasonal_Profile!$B$9:$M$9),SUMPRODUCT(Assumptions!$D$17:$O$17,Seasonal_Profile!$B$10:$M$10)),Assumptions!I$17/SUM(Assumptions!$D$17:$O$17)),IF(Assumptions!$B$5=1,Seasonal_Profile!G$9,Seasonal_Profile!G$10))))</f>
        <v/>
      </c>
      <c r="J15" s="35">
        <f>IF(SUM(Monthly_Override!$C15:$N15)&gt;0,Monthly_Override!I15/SUM(Monthly_Override!$C15:$N15),IF(Assumptions!$B$5=3,Seasonal_Profile!H$11,IF($C15=1,IF(Assumptions!$B$10=2,Assumptions!J$17*IF(Assumptions!$B$5=1,Seasonal_Profile!H$9,Seasonal_Profile!H$10)/IF(Assumptions!$B$5=1,SUMPRODUCT(Assumptions!$D$17:$O$17,Seasonal_Profile!$B$9:$M$9),SUMPRODUCT(Assumptions!$D$17:$O$17,Seasonal_Profile!$B$10:$M$10)),Assumptions!J$17/SUM(Assumptions!$D$17:$O$17)),IF(Assumptions!$B$5=1,Seasonal_Profile!H$9,Seasonal_Profile!H$10))))</f>
        <v/>
      </c>
      <c r="K15" s="35">
        <f>IF(SUM(Monthly_Override!$C15:$N15)&gt;0,Monthly_Override!J15/SUM(Monthly_Override!$C15:$N15),IF(Assumptions!$B$5=3,Seasonal_Profile!I$11,IF($C15=1,IF(Assumptions!$B$10=2,Assumptions!K$17*IF(Assumptions!$B$5=1,Seasonal_Profile!I$9,Seasonal_Profile!I$10)/IF(Assumptions!$B$5=1,SUMPRODUCT(Assumptions!$D$17:$O$17,Seasonal_Profile!$B$9:$M$9),SUMPRODUCT(Assumptions!$D$17:$O$17,Seasonal_Profile!$B$10:$M$10)),Assumptions!K$17/SUM(Assumptions!$D$17:$O$17)),IF(Assumptions!$B$5=1,Seasonal_Profile!I$9,Seasonal_Profile!I$10))))</f>
        <v/>
      </c>
      <c r="L15" s="35">
        <f>IF(SUM(Monthly_Override!$C15:$N15)&gt;0,Monthly_Override!K15/SUM(Monthly_Override!$C15:$N15),IF(Assumptions!$B$5=3,Seasonal_Profile!J$11,IF($C15=1,IF(Assumptions!$B$10=2,Assumptions!L$17*IF(Assumptions!$B$5=1,Seasonal_Profile!J$9,Seasonal_Profile!J$10)/IF(Assumptions!$B$5=1,SUMPRODUCT(Assumptions!$D$17:$O$17,Seasonal_Profile!$B$9:$M$9),SUMPRODUCT(Assumptions!$D$17:$O$17,Seasonal_Profile!$B$10:$M$10)),Assumptions!L$17/SUM(Assumptions!$D$17:$O$17)),IF(Assumptions!$B$5=1,Seasonal_Profile!J$9,Seasonal_Profile!J$10))))</f>
        <v/>
      </c>
      <c r="M15" s="35">
        <f>IF(SUM(Monthly_Override!$C15:$N15)&gt;0,Monthly_Override!L15/SUM(Monthly_Override!$C15:$N15),IF(Assumptions!$B$5=3,Seasonal_Profile!K$11,IF($C15=1,IF(Assumptions!$B$10=2,Assumptions!M$17*IF(Assumptions!$B$5=1,Seasonal_Profile!K$9,Seasonal_Profile!K$10)/IF(Assumptions!$B$5=1,SUMPRODUCT(Assumptions!$D$17:$O$17,Seasonal_Profile!$B$9:$M$9),SUMPRODUCT(Assumptions!$D$17:$O$17,Seasonal_Profile!$B$10:$M$10)),Assumptions!M$17/SUM(Assumptions!$D$17:$O$17)),IF(Assumptions!$B$5=1,Seasonal_Profile!K$9,Seasonal_Profile!K$10))))</f>
        <v/>
      </c>
      <c r="N15" s="35">
        <f>IF(SUM(Monthly_Override!$C15:$N15)&gt;0,Monthly_Override!M15/SUM(Monthly_Override!$C15:$N15),IF(Assumptions!$B$5=3,Seasonal_Profile!L$11,IF($C15=1,IF(Assumptions!$B$10=2,Assumptions!N$17*IF(Assumptions!$B$5=1,Seasonal_Profile!L$9,Seasonal_Profile!L$10)/IF(Assumptions!$B$5=1,SUMPRODUCT(Assumptions!$D$17:$O$17,Seasonal_Profile!$B$9:$M$9),SUMPRODUCT(Assumptions!$D$17:$O$17,Seasonal_Profile!$B$10:$M$10)),Assumptions!N$17/SUM(Assumptions!$D$17:$O$17)),IF(Assumptions!$B$5=1,Seasonal_Profile!L$9,Seasonal_Profile!L$10))))</f>
        <v/>
      </c>
      <c r="O15" s="35">
        <f>IF(SUM(Monthly_Override!$C15:$N15)&gt;0,Monthly_Override!N15/SUM(Monthly_Override!$C15:$N15),IF(Assumptions!$B$5=3,Seasonal_Profile!M$11,IF($C15=1,IF(Assumptions!$B$10=2,Assumptions!O$17*IF(Assumptions!$B$5=1,Seasonal_Profile!M$9,Seasonal_Profile!M$10)/IF(Assumptions!$B$5=1,SUMPRODUCT(Assumptions!$D$17:$O$17,Seasonal_Profile!$B$9:$M$9),SUMPRODUCT(Assumptions!$D$17:$O$17,Seasonal_Profile!$B$10:$M$10)),Assumptions!O$17/SUM(Assumptions!$D$17:$O$17)),IF(Assumptions!$B$5=1,Seasonal_Profile!M$9,Seasonal_Profile!M$10))))</f>
        <v/>
      </c>
      <c r="P15" s="36">
        <f>SUM(D15:O15)</f>
        <v/>
      </c>
    </row>
    <row r="16">
      <c r="A16" s="6" t="inlineStr">
        <is>
          <t>Infanta</t>
        </is>
      </c>
      <c r="B16" s="6" t="n">
        <v>2025</v>
      </c>
      <c r="C16" s="11">
        <f>Assumptions!C18</f>
        <v/>
      </c>
      <c r="D16" s="35">
        <f>IF(SUM(Monthly_Override!$C16:$N16)&gt;0,Monthly_Override!C16/SUM(Monthly_Override!$C16:$N16),IF(Assumptions!$B$5=3,Seasonal_Profile!B$11,IF($C16=1,IF(Assumptions!$B$10=2,Assumptions!D$18*IF(Assumptions!$B$5=1,Seasonal_Profile!B$9,Seasonal_Profile!B$10)/IF(Assumptions!$B$5=1,SUMPRODUCT(Assumptions!$D$18:$O$18,Seasonal_Profile!$B$9:$M$9),SUMPRODUCT(Assumptions!$D$18:$O$18,Seasonal_Profile!$B$10:$M$10)),Assumptions!D$18/SUM(Assumptions!$D$18:$O$18)),IF(Assumptions!$B$5=1,Seasonal_Profile!B$9,Seasonal_Profile!B$10))))</f>
        <v/>
      </c>
      <c r="E16" s="35">
        <f>IF(SUM(Monthly_Override!$C16:$N16)&gt;0,Monthly_Override!D16/SUM(Monthly_Override!$C16:$N16),IF(Assumptions!$B$5=3,Seasonal_Profile!C$11,IF($C16=1,IF(Assumptions!$B$10=2,Assumptions!E$18*IF(Assumptions!$B$5=1,Seasonal_Profile!C$9,Seasonal_Profile!C$10)/IF(Assumptions!$B$5=1,SUMPRODUCT(Assumptions!$D$18:$O$18,Seasonal_Profile!$B$9:$M$9),SUMPRODUCT(Assumptions!$D$18:$O$18,Seasonal_Profile!$B$10:$M$10)),Assumptions!E$18/SUM(Assumptions!$D$18:$O$18)),IF(Assumptions!$B$5=1,Seasonal_Profile!C$9,Seasonal_Profile!C$10))))</f>
        <v/>
      </c>
      <c r="F16" s="35">
        <f>IF(SUM(Monthly_Override!$C16:$N16)&gt;0,Monthly_Override!E16/SUM(Monthly_Override!$C16:$N16),IF(Assumptions!$B$5=3,Seasonal_Profile!D$11,IF($C16=1,IF(Assumptions!$B$10=2,Assumptions!F$18*IF(Assumptions!$B$5=1,Seasonal_Profile!D$9,Seasonal_Profile!D$10)/IF(Assumptions!$B$5=1,SUMPRODUCT(Assumptions!$D$18:$O$18,Seasonal_Profile!$B$9:$M$9),SUMPRODUCT(Assumptions!$D$18:$O$18,Seasonal_Profile!$B$10:$M$10)),Assumptions!F$18/SUM(Assumptions!$D$18:$O$18)),IF(Assumptions!$B$5=1,Seasonal_Profile!D$9,Seasonal_Profile!D$10))))</f>
        <v/>
      </c>
      <c r="G16" s="35">
        <f>IF(SUM(Monthly_Override!$C16:$N16)&gt;0,Monthly_Override!F16/SUM(Monthly_Override!$C16:$N16),IF(Assumptions!$B$5=3,Seasonal_Profile!E$11,IF($C16=1,IF(Assumptions!$B$10=2,Assumptions!G$18*IF(Assumptions!$B$5=1,Seasonal_Profile!E$9,Seasonal_Profile!E$10)/IF(Assumptions!$B$5=1,SUMPRODUCT(Assumptions!$D$18:$O$18,Seasonal_Profile!$B$9:$M$9),SUMPRODUCT(Assumptions!$D$18:$O$18,Seasonal_Profile!$B$10:$M$10)),Assumptions!G$18/SUM(Assumptions!$D$18:$O$18)),IF(Assumptions!$B$5=1,Seasonal_Profile!E$9,Seasonal_Profile!E$10))))</f>
        <v/>
      </c>
      <c r="H16" s="35">
        <f>IF(SUM(Monthly_Override!$C16:$N16)&gt;0,Monthly_Override!G16/SUM(Monthly_Override!$C16:$N16),IF(Assumptions!$B$5=3,Seasonal_Profile!F$11,IF($C16=1,IF(Assumptions!$B$10=2,Assumptions!H$18*IF(Assumptions!$B$5=1,Seasonal_Profile!F$9,Seasonal_Profile!F$10)/IF(Assumptions!$B$5=1,SUMPRODUCT(Assumptions!$D$18:$O$18,Seasonal_Profile!$B$9:$M$9),SUMPRODUCT(Assumptions!$D$18:$O$18,Seasonal_Profile!$B$10:$M$10)),Assumptions!H$18/SUM(Assumptions!$D$18:$O$18)),IF(Assumptions!$B$5=1,Seasonal_Profile!F$9,Seasonal_Profile!F$10))))</f>
        <v/>
      </c>
      <c r="I16" s="35">
        <f>IF(SUM(Monthly_Override!$C16:$N16)&gt;0,Monthly_Override!H16/SUM(Monthly_Override!$C16:$N16),IF(Assumptions!$B$5=3,Seasonal_Profile!G$11,IF($C16=1,IF(Assumptions!$B$10=2,Assumptions!I$18*IF(Assumptions!$B$5=1,Seasonal_Profile!G$9,Seasonal_Profile!G$10)/IF(Assumptions!$B$5=1,SUMPRODUCT(Assumptions!$D$18:$O$18,Seasonal_Profile!$B$9:$M$9),SUMPRODUCT(Assumptions!$D$18:$O$18,Seasonal_Profile!$B$10:$M$10)),Assumptions!I$18/SUM(Assumptions!$D$18:$O$18)),IF(Assumptions!$B$5=1,Seasonal_Profile!G$9,Seasonal_Profile!G$10))))</f>
        <v/>
      </c>
      <c r="J16" s="35">
        <f>IF(SUM(Monthly_Override!$C16:$N16)&gt;0,Monthly_Override!I16/SUM(Monthly_Override!$C16:$N16),IF(Assumptions!$B$5=3,Seasonal_Profile!H$11,IF($C16=1,IF(Assumptions!$B$10=2,Assumptions!J$18*IF(Assumptions!$B$5=1,Seasonal_Profile!H$9,Seasonal_Profile!H$10)/IF(Assumptions!$B$5=1,SUMPRODUCT(Assumptions!$D$18:$O$18,Seasonal_Profile!$B$9:$M$9),SUMPRODUCT(Assumptions!$D$18:$O$18,Seasonal_Profile!$B$10:$M$10)),Assumptions!J$18/SUM(Assumptions!$D$18:$O$18)),IF(Assumptions!$B$5=1,Seasonal_Profile!H$9,Seasonal_Profile!H$10))))</f>
        <v/>
      </c>
      <c r="K16" s="35">
        <f>IF(SUM(Monthly_Override!$C16:$N16)&gt;0,Monthly_Override!J16/SUM(Monthly_Override!$C16:$N16),IF(Assumptions!$B$5=3,Seasonal_Profile!I$11,IF($C16=1,IF(Assumptions!$B$10=2,Assumptions!K$18*IF(Assumptions!$B$5=1,Seasonal_Profile!I$9,Seasonal_Profile!I$10)/IF(Assumptions!$B$5=1,SUMPRODUCT(Assumptions!$D$18:$O$18,Seasonal_Profile!$B$9:$M$9),SUMPRODUCT(Assumptions!$D$18:$O$18,Seasonal_Profile!$B$10:$M$10)),Assumptions!K$18/SUM(Assumptions!$D$18:$O$18)),IF(Assumptions!$B$5=1,Seasonal_Profile!I$9,Seasonal_Profile!I$10))))</f>
        <v/>
      </c>
      <c r="L16" s="35">
        <f>IF(SUM(Monthly_Override!$C16:$N16)&gt;0,Monthly_Override!K16/SUM(Monthly_Override!$C16:$N16),IF(Assumptions!$B$5=3,Seasonal_Profile!J$11,IF($C16=1,IF(Assumptions!$B$10=2,Assumptions!L$18*IF(Assumptions!$B$5=1,Seasonal_Profile!J$9,Seasonal_Profile!J$10)/IF(Assumptions!$B$5=1,SUMPRODUCT(Assumptions!$D$18:$O$18,Seasonal_Profile!$B$9:$M$9),SUMPRODUCT(Assumptions!$D$18:$O$18,Seasonal_Profile!$B$10:$M$10)),Assumptions!L$18/SUM(Assumptions!$D$18:$O$18)),IF(Assumptions!$B$5=1,Seasonal_Profile!J$9,Seasonal_Profile!J$10))))</f>
        <v/>
      </c>
      <c r="M16" s="35">
        <f>IF(SUM(Monthly_Override!$C16:$N16)&gt;0,Monthly_Override!L16/SUM(Monthly_Override!$C16:$N16),IF(Assumptions!$B$5=3,Seasonal_Profile!K$11,IF($C16=1,IF(Assumptions!$B$10=2,Assumptions!M$18*IF(Assumptions!$B$5=1,Seasonal_Profile!K$9,Seasonal_Profile!K$10)/IF(Assumptions!$B$5=1,SUMPRODUCT(Assumptions!$D$18:$O$18,Seasonal_Profile!$B$9:$M$9),SUMPRODUCT(Assumptions!$D$18:$O$18,Seasonal_Profile!$B$10:$M$10)),Assumptions!M$18/SUM(Assumptions!$D$18:$O$18)),IF(Assumptions!$B$5=1,Seasonal_Profile!K$9,Seasonal_Profile!K$10))))</f>
        <v/>
      </c>
      <c r="N16" s="35">
        <f>IF(SUM(Monthly_Override!$C16:$N16)&gt;0,Monthly_Override!M16/SUM(Monthly_Override!$C16:$N16),IF(Assumptions!$B$5=3,Seasonal_Profile!L$11,IF($C16=1,IF(Assumptions!$B$10=2,Assumptions!N$18*IF(Assumptions!$B$5=1,Seasonal_Profile!L$9,Seasonal_Profile!L$10)/IF(Assumptions!$B$5=1,SUMPRODUCT(Assumptions!$D$18:$O$18,Seasonal_Profile!$B$9:$M$9),SUMPRODUCT(Assumptions!$D$18:$O$18,Seasonal_Profile!$B$10:$M$10)),Assumptions!N$18/SUM(Assumptions!$D$18:$O$18)),IF(Assumptions!$B$5=1,Seasonal_Profile!L$9,Seasonal_Profile!L$10))))</f>
        <v/>
      </c>
      <c r="O16" s="35">
        <f>IF(SUM(Monthly_Override!$C16:$N16)&gt;0,Monthly_Override!N16/SUM(Monthly_Override!$C16:$N16),IF(Assumptions!$B$5=3,Seasonal_Profile!M$11,IF($C16=1,IF(Assumptions!$B$10=2,Assumptions!O$18*IF(Assumptions!$B$5=1,Seasonal_Profile!M$9,Seasonal_Profile!M$10)/IF(Assumptions!$B$5=1,SUMPRODUCT(Assumptions!$D$18:$O$18,Seasonal_Profile!$B$9:$M$9),SUMPRODUCT(Assumptions!$D$18:$O$18,Seasonal_Profile!$B$10:$M$10)),Assumptions!O$18/SUM(Assumptions!$D$18:$O$18)),IF(Assumptions!$B$5=1,Seasonal_Profile!M$9,Seasonal_Profile!M$10))))</f>
        <v/>
      </c>
      <c r="P16" s="36">
        <f>SUM(D16:O16)</f>
        <v/>
      </c>
    </row>
    <row r="17">
      <c r="A17" s="6" t="inlineStr">
        <is>
          <t>San Fabian</t>
        </is>
      </c>
      <c r="B17" s="6" t="n">
        <v>2025</v>
      </c>
      <c r="C17" s="11">
        <f>Assumptions!C19</f>
        <v/>
      </c>
      <c r="D17" s="35">
        <f>IF(SUM(Monthly_Override!$C17:$N17)&gt;0,Monthly_Override!C17/SUM(Monthly_Override!$C17:$N17),IF(Assumptions!$B$5=3,Seasonal_Profile!B$11,IF($C17=1,IF(Assumptions!$B$10=2,Assumptions!D$19*IF(Assumptions!$B$5=1,Seasonal_Profile!B$9,Seasonal_Profile!B$10)/IF(Assumptions!$B$5=1,SUMPRODUCT(Assumptions!$D$19:$O$19,Seasonal_Profile!$B$9:$M$9),SUMPRODUCT(Assumptions!$D$19:$O$19,Seasonal_Profile!$B$10:$M$10)),Assumptions!D$19/SUM(Assumptions!$D$19:$O$19)),IF(Assumptions!$B$5=1,Seasonal_Profile!B$9,Seasonal_Profile!B$10))))</f>
        <v/>
      </c>
      <c r="E17" s="35">
        <f>IF(SUM(Monthly_Override!$C17:$N17)&gt;0,Monthly_Override!D17/SUM(Monthly_Override!$C17:$N17),IF(Assumptions!$B$5=3,Seasonal_Profile!C$11,IF($C17=1,IF(Assumptions!$B$10=2,Assumptions!E$19*IF(Assumptions!$B$5=1,Seasonal_Profile!C$9,Seasonal_Profile!C$10)/IF(Assumptions!$B$5=1,SUMPRODUCT(Assumptions!$D$19:$O$19,Seasonal_Profile!$B$9:$M$9),SUMPRODUCT(Assumptions!$D$19:$O$19,Seasonal_Profile!$B$10:$M$10)),Assumptions!E$19/SUM(Assumptions!$D$19:$O$19)),IF(Assumptions!$B$5=1,Seasonal_Profile!C$9,Seasonal_Profile!C$10))))</f>
        <v/>
      </c>
      <c r="F17" s="35">
        <f>IF(SUM(Monthly_Override!$C17:$N17)&gt;0,Monthly_Override!E17/SUM(Monthly_Override!$C17:$N17),IF(Assumptions!$B$5=3,Seasonal_Profile!D$11,IF($C17=1,IF(Assumptions!$B$10=2,Assumptions!F$19*IF(Assumptions!$B$5=1,Seasonal_Profile!D$9,Seasonal_Profile!D$10)/IF(Assumptions!$B$5=1,SUMPRODUCT(Assumptions!$D$19:$O$19,Seasonal_Profile!$B$9:$M$9),SUMPRODUCT(Assumptions!$D$19:$O$19,Seasonal_Profile!$B$10:$M$10)),Assumptions!F$19/SUM(Assumptions!$D$19:$O$19)),IF(Assumptions!$B$5=1,Seasonal_Profile!D$9,Seasonal_Profile!D$10))))</f>
        <v/>
      </c>
      <c r="G17" s="35">
        <f>IF(SUM(Monthly_Override!$C17:$N17)&gt;0,Monthly_Override!F17/SUM(Monthly_Override!$C17:$N17),IF(Assumptions!$B$5=3,Seasonal_Profile!E$11,IF($C17=1,IF(Assumptions!$B$10=2,Assumptions!G$19*IF(Assumptions!$B$5=1,Seasonal_Profile!E$9,Seasonal_Profile!E$10)/IF(Assumptions!$B$5=1,SUMPRODUCT(Assumptions!$D$19:$O$19,Seasonal_Profile!$B$9:$M$9),SUMPRODUCT(Assumptions!$D$19:$O$19,Seasonal_Profile!$B$10:$M$10)),Assumptions!G$19/SUM(Assumptions!$D$19:$O$19)),IF(Assumptions!$B$5=1,Seasonal_Profile!E$9,Seasonal_Profile!E$10))))</f>
        <v/>
      </c>
      <c r="H17" s="35">
        <f>IF(SUM(Monthly_Override!$C17:$N17)&gt;0,Monthly_Override!G17/SUM(Monthly_Override!$C17:$N17),IF(Assumptions!$B$5=3,Seasonal_Profile!F$11,IF($C17=1,IF(Assumptions!$B$10=2,Assumptions!H$19*IF(Assumptions!$B$5=1,Seasonal_Profile!F$9,Seasonal_Profile!F$10)/IF(Assumptions!$B$5=1,SUMPRODUCT(Assumptions!$D$19:$O$19,Seasonal_Profile!$B$9:$M$9),SUMPRODUCT(Assumptions!$D$19:$O$19,Seasonal_Profile!$B$10:$M$10)),Assumptions!H$19/SUM(Assumptions!$D$19:$O$19)),IF(Assumptions!$B$5=1,Seasonal_Profile!F$9,Seasonal_Profile!F$10))))</f>
        <v/>
      </c>
      <c r="I17" s="35">
        <f>IF(SUM(Monthly_Override!$C17:$N17)&gt;0,Monthly_Override!H17/SUM(Monthly_Override!$C17:$N17),IF(Assumptions!$B$5=3,Seasonal_Profile!G$11,IF($C17=1,IF(Assumptions!$B$10=2,Assumptions!I$19*IF(Assumptions!$B$5=1,Seasonal_Profile!G$9,Seasonal_Profile!G$10)/IF(Assumptions!$B$5=1,SUMPRODUCT(Assumptions!$D$19:$O$19,Seasonal_Profile!$B$9:$M$9),SUMPRODUCT(Assumptions!$D$19:$O$19,Seasonal_Profile!$B$10:$M$10)),Assumptions!I$19/SUM(Assumptions!$D$19:$O$19)),IF(Assumptions!$B$5=1,Seasonal_Profile!G$9,Seasonal_Profile!G$10))))</f>
        <v/>
      </c>
      <c r="J17" s="35">
        <f>IF(SUM(Monthly_Override!$C17:$N17)&gt;0,Monthly_Override!I17/SUM(Monthly_Override!$C17:$N17),IF(Assumptions!$B$5=3,Seasonal_Profile!H$11,IF($C17=1,IF(Assumptions!$B$10=2,Assumptions!J$19*IF(Assumptions!$B$5=1,Seasonal_Profile!H$9,Seasonal_Profile!H$10)/IF(Assumptions!$B$5=1,SUMPRODUCT(Assumptions!$D$19:$O$19,Seasonal_Profile!$B$9:$M$9),SUMPRODUCT(Assumptions!$D$19:$O$19,Seasonal_Profile!$B$10:$M$10)),Assumptions!J$19/SUM(Assumptions!$D$19:$O$19)),IF(Assumptions!$B$5=1,Seasonal_Profile!H$9,Seasonal_Profile!H$10))))</f>
        <v/>
      </c>
      <c r="K17" s="35">
        <f>IF(SUM(Monthly_Override!$C17:$N17)&gt;0,Monthly_Override!J17/SUM(Monthly_Override!$C17:$N17),IF(Assumptions!$B$5=3,Seasonal_Profile!I$11,IF($C17=1,IF(Assumptions!$B$10=2,Assumptions!K$19*IF(Assumptions!$B$5=1,Seasonal_Profile!I$9,Seasonal_Profile!I$10)/IF(Assumptions!$B$5=1,SUMPRODUCT(Assumptions!$D$19:$O$19,Seasonal_Profile!$B$9:$M$9),SUMPRODUCT(Assumptions!$D$19:$O$19,Seasonal_Profile!$B$10:$M$10)),Assumptions!K$19/SUM(Assumptions!$D$19:$O$19)),IF(Assumptions!$B$5=1,Seasonal_Profile!I$9,Seasonal_Profile!I$10))))</f>
        <v/>
      </c>
      <c r="L17" s="35">
        <f>IF(SUM(Monthly_Override!$C17:$N17)&gt;0,Monthly_Override!K17/SUM(Monthly_Override!$C17:$N17),IF(Assumptions!$B$5=3,Seasonal_Profile!J$11,IF($C17=1,IF(Assumptions!$B$10=2,Assumptions!L$19*IF(Assumptions!$B$5=1,Seasonal_Profile!J$9,Seasonal_Profile!J$10)/IF(Assumptions!$B$5=1,SUMPRODUCT(Assumptions!$D$19:$O$19,Seasonal_Profile!$B$9:$M$9),SUMPRODUCT(Assumptions!$D$19:$O$19,Seasonal_Profile!$B$10:$M$10)),Assumptions!L$19/SUM(Assumptions!$D$19:$O$19)),IF(Assumptions!$B$5=1,Seasonal_Profile!J$9,Seasonal_Profile!J$10))))</f>
        <v/>
      </c>
      <c r="M17" s="35">
        <f>IF(SUM(Monthly_Override!$C17:$N17)&gt;0,Monthly_Override!L17/SUM(Monthly_Override!$C17:$N17),IF(Assumptions!$B$5=3,Seasonal_Profile!K$11,IF($C17=1,IF(Assumptions!$B$10=2,Assumptions!M$19*IF(Assumptions!$B$5=1,Seasonal_Profile!K$9,Seasonal_Profile!K$10)/IF(Assumptions!$B$5=1,SUMPRODUCT(Assumptions!$D$19:$O$19,Seasonal_Profile!$B$9:$M$9),SUMPRODUCT(Assumptions!$D$19:$O$19,Seasonal_Profile!$B$10:$M$10)),Assumptions!M$19/SUM(Assumptions!$D$19:$O$19)),IF(Assumptions!$B$5=1,Seasonal_Profile!K$9,Seasonal_Profile!K$10))))</f>
        <v/>
      </c>
      <c r="N17" s="35">
        <f>IF(SUM(Monthly_Override!$C17:$N17)&gt;0,Monthly_Override!M17/SUM(Monthly_Override!$C17:$N17),IF(Assumptions!$B$5=3,Seasonal_Profile!L$11,IF($C17=1,IF(Assumptions!$B$10=2,Assumptions!N$19*IF(Assumptions!$B$5=1,Seasonal_Profile!L$9,Seasonal_Profile!L$10)/IF(Assumptions!$B$5=1,SUMPRODUCT(Assumptions!$D$19:$O$19,Seasonal_Profile!$B$9:$M$9),SUMPRODUCT(Assumptions!$D$19:$O$19,Seasonal_Profile!$B$10:$M$10)),Assumptions!N$19/SUM(Assumptions!$D$19:$O$19)),IF(Assumptions!$B$5=1,Seasonal_Profile!L$9,Seasonal_Profile!L$10))))</f>
        <v/>
      </c>
      <c r="O17" s="35">
        <f>IF(SUM(Monthly_Override!$C17:$N17)&gt;0,Monthly_Override!N17/SUM(Monthly_Override!$C17:$N17),IF(Assumptions!$B$5=3,Seasonal_Profile!M$11,IF($C17=1,IF(Assumptions!$B$10=2,Assumptions!O$19*IF(Assumptions!$B$5=1,Seasonal_Profile!M$9,Seasonal_Profile!M$10)/IF(Assumptions!$B$5=1,SUMPRODUCT(Assumptions!$D$19:$O$19,Seasonal_Profile!$B$9:$M$9),SUMPRODUCT(Assumptions!$D$19:$O$19,Seasonal_Profile!$B$10:$M$10)),Assumptions!O$19/SUM(Assumptions!$D$19:$O$19)),IF(Assumptions!$B$5=1,Seasonal_Profile!M$9,Seasonal_Profile!M$10))))</f>
        <v/>
      </c>
      <c r="P17" s="36">
        <f>SUM(D17:O17)</f>
        <v/>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Q19"/>
  <sheetViews>
    <sheetView showGridLines="0" topLeftCell="C1" workbookViewId="0">
      <selection activeCell="A3" sqref="A3:Q3"/>
    </sheetView>
  </sheetViews>
  <sheetFormatPr baseColWidth="8" defaultColWidth="8.675925925925929" defaultRowHeight="14.4"/>
  <cols>
    <col width="18" customWidth="1" min="1" max="1"/>
    <col width="8" customWidth="1" min="2" max="2"/>
    <col width="11" customWidth="1" min="3" max="14"/>
    <col width="14" customWidth="1" min="15" max="15"/>
    <col width="16" customWidth="1" min="16" max="16"/>
    <col width="12" customWidth="1" min="17" max="17"/>
  </cols>
  <sheetData>
    <row r="1" ht="17.4" customHeight="1">
      <c r="A1" s="1" t="inlineStr">
        <is>
          <t>Real monthly data override (optional)</t>
        </is>
      </c>
    </row>
    <row r="2">
      <c r="A2" s="2" t="inlineStr">
        <is>
          <t>Enter observed monthly production (kg) for any municipality-year. A row with any value is used instead of the estimate and rescaled to the annual total. Leave blank to keep the estimate.</t>
        </is>
      </c>
    </row>
    <row r="3" ht="42" customHeight="1">
      <c r="A3" s="5" t="inlineStr">
        <is>
          <t>Municipality</t>
        </is>
      </c>
      <c r="B3" s="5" t="inlineStr">
        <is>
          <t>Year</t>
        </is>
      </c>
      <c r="C3" s="5" t="inlineStr">
        <is>
          <t>Jan</t>
        </is>
      </c>
      <c r="D3" s="5" t="inlineStr">
        <is>
          <t>Feb</t>
        </is>
      </c>
      <c r="E3" s="5" t="inlineStr">
        <is>
          <t>Mar</t>
        </is>
      </c>
      <c r="F3" s="5" t="inlineStr">
        <is>
          <t>Apr</t>
        </is>
      </c>
      <c r="G3" s="5" t="inlineStr">
        <is>
          <t>May</t>
        </is>
      </c>
      <c r="H3" s="5" t="inlineStr">
        <is>
          <t>Jun</t>
        </is>
      </c>
      <c r="I3" s="5" t="inlineStr">
        <is>
          <t>Jul</t>
        </is>
      </c>
      <c r="J3" s="5" t="inlineStr">
        <is>
          <t>Aug</t>
        </is>
      </c>
      <c r="K3" s="5" t="inlineStr">
        <is>
          <t>Sep</t>
        </is>
      </c>
      <c r="L3" s="5" t="inlineStr">
        <is>
          <t>Oct</t>
        </is>
      </c>
      <c r="M3" s="5" t="inlineStr">
        <is>
          <t>Nov</t>
        </is>
      </c>
      <c r="N3" s="5" t="inlineStr">
        <is>
          <t>Dec</t>
        </is>
      </c>
      <c r="O3" s="5" t="inlineStr">
        <is>
          <t>Row total (kg)</t>
        </is>
      </c>
      <c r="P3" s="5" t="inlineStr">
        <is>
          <t>Annual used (kg)</t>
        </is>
      </c>
      <c r="Q3" s="5" t="inlineStr">
        <is>
          <t>Difference</t>
        </is>
      </c>
    </row>
    <row r="4">
      <c r="A4" s="6" t="inlineStr">
        <is>
          <t>Alaminos City</t>
        </is>
      </c>
      <c r="B4" s="6" t="n">
        <v>2024</v>
      </c>
      <c r="C4" s="34" t="n"/>
      <c r="D4" s="34" t="n"/>
      <c r="E4" s="34" t="n"/>
      <c r="F4" s="34" t="n"/>
      <c r="G4" s="34" t="n"/>
      <c r="H4" s="34" t="n"/>
      <c r="I4" s="34" t="n"/>
      <c r="J4" s="34" t="n"/>
      <c r="K4" s="34" t="n"/>
      <c r="L4" s="34" t="n"/>
      <c r="M4" s="34" t="n"/>
      <c r="N4" s="34" t="n"/>
      <c r="O4" s="16">
        <f>SUM(C4:N4)</f>
        <v/>
      </c>
      <c r="P4" s="7">
        <f>Annual_Production!L4</f>
        <v/>
      </c>
      <c r="Q4" s="16">
        <f>IF(O4&gt;0,O4-P4,"")</f>
        <v/>
      </c>
    </row>
    <row r="5">
      <c r="A5" s="6" t="inlineStr">
        <is>
          <t>Anda</t>
        </is>
      </c>
      <c r="B5" s="6" t="n">
        <v>2024</v>
      </c>
      <c r="C5" s="34" t="n">
        <v>13572.58479596407</v>
      </c>
      <c r="D5" s="34" t="n">
        <v>866.1969051878579</v>
      </c>
      <c r="E5" s="34" t="n">
        <v>31594.37734234959</v>
      </c>
      <c r="F5" s="34" t="n">
        <v>27575.73789322986</v>
      </c>
      <c r="G5" s="34" t="n">
        <v>4639.124166866433</v>
      </c>
      <c r="H5" s="34" t="n">
        <v>30187.87735212057</v>
      </c>
      <c r="I5" s="34" t="n">
        <v>1675.328071490852</v>
      </c>
      <c r="J5" s="34" t="n">
        <v>1839.7646656478</v>
      </c>
      <c r="K5" s="34" t="n">
        <v>216.4185421960912</v>
      </c>
      <c r="L5" s="34" t="n">
        <v>536.718890922171</v>
      </c>
      <c r="M5" s="34" t="n">
        <v>409.6952859108052</v>
      </c>
      <c r="N5" s="34" t="n">
        <v>2486.176088113963</v>
      </c>
      <c r="O5" s="16">
        <f>SUM(C5:N5)</f>
        <v/>
      </c>
      <c r="P5" s="7">
        <f>Annual_Production!L5</f>
        <v/>
      </c>
      <c r="Q5" s="16">
        <f>IF(O5&gt;0,O5-P5,"")</f>
        <v/>
      </c>
    </row>
    <row r="6">
      <c r="A6" s="6" t="inlineStr">
        <is>
          <t>Bani</t>
        </is>
      </c>
      <c r="B6" s="6" t="n">
        <v>2024</v>
      </c>
      <c r="C6" s="34" t="n">
        <v>178939.5045164461</v>
      </c>
      <c r="D6" s="34" t="n">
        <v>5066.210495489779</v>
      </c>
      <c r="E6" s="34" t="n">
        <v>114053.5956959738</v>
      </c>
      <c r="F6" s="34" t="n">
        <v>42322.1231412326</v>
      </c>
      <c r="G6" s="34" t="n">
        <v>73370.71405462619</v>
      </c>
      <c r="H6" s="34" t="n">
        <v>150761.5888490329</v>
      </c>
      <c r="I6" s="34" t="n">
        <v>20635.32647690176</v>
      </c>
      <c r="J6" s="34" t="n">
        <v>43259.22065377866</v>
      </c>
      <c r="K6" s="34" t="n">
        <v>5366.615773812095</v>
      </c>
      <c r="L6" s="34" t="n">
        <v>5370.967614983813</v>
      </c>
      <c r="M6" s="34" t="n">
        <v>7351.979268956507</v>
      </c>
      <c r="N6" s="34" t="n">
        <v>2902.153458765708</v>
      </c>
      <c r="O6" s="16">
        <f>SUM(C6:N6)</f>
        <v/>
      </c>
      <c r="P6" s="7">
        <f>Annual_Production!L6</f>
        <v/>
      </c>
      <c r="Q6" s="16">
        <f>IF(O6&gt;0,O6-P6,"")</f>
        <v/>
      </c>
    </row>
    <row r="7">
      <c r="A7" s="6" t="inlineStr">
        <is>
          <t>Bolinao</t>
        </is>
      </c>
      <c r="B7" s="6" t="n">
        <v>2024</v>
      </c>
      <c r="C7" s="34" t="n">
        <v>2833.554672108382</v>
      </c>
      <c r="D7" s="34" t="n">
        <v>91.72962503843897</v>
      </c>
      <c r="E7" s="34" t="n">
        <v>1033.024699460046</v>
      </c>
      <c r="F7" s="34" t="n">
        <v>813.9086821385587</v>
      </c>
      <c r="G7" s="34" t="n">
        <v>12568.0750221445</v>
      </c>
      <c r="H7" s="34" t="n">
        <v>3077.478346322419</v>
      </c>
      <c r="I7" s="34" t="n">
        <v>392.7721929170549</v>
      </c>
      <c r="J7" s="34" t="n">
        <v>508.9604669715482</v>
      </c>
      <c r="K7" s="34" t="n">
        <v>179.6202097572594</v>
      </c>
      <c r="L7" s="34" t="n">
        <v>222.4561337765628</v>
      </c>
      <c r="M7" s="34" t="n">
        <v>54.20703490477997</v>
      </c>
      <c r="N7" s="34" t="n">
        <v>49.21291446045143</v>
      </c>
      <c r="O7" s="16">
        <f>SUM(C7:N7)</f>
        <v/>
      </c>
      <c r="P7" s="7">
        <f>Annual_Production!L7</f>
        <v/>
      </c>
      <c r="Q7" s="16">
        <f>IF(O7&gt;0,O7-P7,"")</f>
        <v/>
      </c>
    </row>
    <row r="8">
      <c r="A8" s="6" t="inlineStr">
        <is>
          <t>Dasol</t>
        </is>
      </c>
      <c r="B8" s="6" t="n">
        <v>2024</v>
      </c>
      <c r="C8" s="34" t="n">
        <v>190485.826432533</v>
      </c>
      <c r="D8" s="34" t="n">
        <v>4798.855731582426</v>
      </c>
      <c r="E8" s="34" t="n">
        <v>25005.58779145202</v>
      </c>
      <c r="F8" s="34" t="n">
        <v>76643.38228773023</v>
      </c>
      <c r="G8" s="34" t="n">
        <v>96367.31256489082</v>
      </c>
      <c r="H8" s="34" t="n">
        <v>117209.1931311599</v>
      </c>
      <c r="I8" s="34" t="n">
        <v>9306.815188998435</v>
      </c>
      <c r="J8" s="34" t="n">
        <v>19774.91019994241</v>
      </c>
      <c r="K8" s="34" t="n">
        <v>13515.8782068724</v>
      </c>
      <c r="L8" s="34" t="n">
        <v>5031.740339211653</v>
      </c>
      <c r="M8" s="34" t="n">
        <v>18881.27787298013</v>
      </c>
      <c r="N8" s="34" t="n">
        <v>2246.220252646599</v>
      </c>
      <c r="O8" s="16">
        <f>SUM(C8:N8)</f>
        <v/>
      </c>
      <c r="P8" s="7">
        <f>Annual_Production!L8</f>
        <v/>
      </c>
      <c r="Q8" s="16">
        <f>IF(O8&gt;0,O8-P8,"")</f>
        <v/>
      </c>
    </row>
    <row r="9">
      <c r="A9" s="6" t="inlineStr">
        <is>
          <t>Infanta</t>
        </is>
      </c>
      <c r="B9" s="6" t="n">
        <v>2024</v>
      </c>
      <c r="C9" s="34" t="n">
        <v>7975.067509106105</v>
      </c>
      <c r="D9" s="34" t="n">
        <v>621.0916466219048</v>
      </c>
      <c r="E9" s="34" t="n">
        <v>6345.367341585179</v>
      </c>
      <c r="F9" s="34" t="n">
        <v>147951.731446243</v>
      </c>
      <c r="G9" s="34" t="n">
        <v>150162.4583534166</v>
      </c>
      <c r="H9" s="34" t="n">
        <v>27687.07350712054</v>
      </c>
      <c r="I9" s="34" t="n">
        <v>750.1979769791066</v>
      </c>
      <c r="J9" s="34" t="n">
        <v>7564.581665479188</v>
      </c>
      <c r="K9" s="34" t="n">
        <v>4101.64294989237</v>
      </c>
      <c r="L9" s="34" t="n">
        <v>2898.295819593105</v>
      </c>
      <c r="M9" s="34" t="n">
        <v>1196.959350010763</v>
      </c>
      <c r="N9" s="34" t="n">
        <v>661.5324339517974</v>
      </c>
      <c r="O9" s="16">
        <f>SUM(C9:N9)</f>
        <v/>
      </c>
      <c r="P9" s="7">
        <f>Annual_Production!L9</f>
        <v/>
      </c>
      <c r="Q9" s="16">
        <f>IF(O9&gt;0,O9-P9,"")</f>
        <v/>
      </c>
    </row>
    <row r="10">
      <c r="A10" s="6" t="inlineStr">
        <is>
          <t>San Fabian</t>
        </is>
      </c>
      <c r="B10" s="6" t="n">
        <v>2024</v>
      </c>
      <c r="C10" s="34" t="n">
        <v>20386.24731133627</v>
      </c>
      <c r="D10" s="34" t="n">
        <v>4822.303428463779</v>
      </c>
      <c r="E10" s="34" t="n">
        <v>7028.960950413599</v>
      </c>
      <c r="F10" s="34" t="n">
        <v>30692.50346356085</v>
      </c>
      <c r="G10" s="34" t="n">
        <v>10914.34124377247</v>
      </c>
      <c r="H10" s="34" t="n">
        <v>17471.97194537022</v>
      </c>
      <c r="I10" s="34" t="n">
        <v>1143.099781867673</v>
      </c>
      <c r="J10" s="34" t="n">
        <v>631.3718906104248</v>
      </c>
      <c r="K10" s="34" t="n">
        <v>557.6888524973965</v>
      </c>
      <c r="L10" s="34" t="n">
        <v>2348.312506038142</v>
      </c>
      <c r="M10" s="34" t="n">
        <v>594.9060817471529</v>
      </c>
      <c r="N10" s="34" t="n">
        <v>6908.292544322016</v>
      </c>
      <c r="O10" s="16">
        <f>SUM(C10:N10)</f>
        <v/>
      </c>
      <c r="P10" s="7">
        <f>Annual_Production!L10</f>
        <v/>
      </c>
      <c r="Q10" s="16">
        <f>IF(O10&gt;0,O10-P10,"")</f>
        <v/>
      </c>
    </row>
    <row r="11">
      <c r="A11" s="6" t="inlineStr">
        <is>
          <t>Alaminos City</t>
        </is>
      </c>
      <c r="B11" s="6" t="n">
        <v>2025</v>
      </c>
      <c r="C11" s="34" t="n"/>
      <c r="D11" s="34" t="n"/>
      <c r="E11" s="34" t="n"/>
      <c r="F11" s="34" t="n"/>
      <c r="G11" s="34" t="n"/>
      <c r="H11" s="34" t="n"/>
      <c r="I11" s="34" t="n"/>
      <c r="J11" s="34" t="n"/>
      <c r="K11" s="34" t="n"/>
      <c r="L11" s="34" t="n"/>
      <c r="M11" s="34" t="n"/>
      <c r="N11" s="34" t="n"/>
      <c r="O11" s="16">
        <f>SUM(C11:N11)</f>
        <v/>
      </c>
      <c r="P11" s="7">
        <f>Annual_Production!M4</f>
        <v/>
      </c>
      <c r="Q11" s="16">
        <f>IF(O11&gt;0,O11-P11,"")</f>
        <v/>
      </c>
    </row>
    <row r="12">
      <c r="A12" s="6" t="inlineStr">
        <is>
          <t>Anda</t>
        </is>
      </c>
      <c r="B12" s="6" t="n">
        <v>2025</v>
      </c>
      <c r="C12" s="34" t="n">
        <v>5266.692010971849</v>
      </c>
      <c r="D12" s="34" t="n">
        <v>23918.88969411724</v>
      </c>
      <c r="E12" s="34" t="n">
        <v>59737.85697817206</v>
      </c>
      <c r="F12" s="34" t="n">
        <v>205622.80822365</v>
      </c>
      <c r="G12" s="34" t="n">
        <v>457231.5810465938</v>
      </c>
      <c r="H12" s="34" t="n">
        <v>45923.80887821467</v>
      </c>
      <c r="I12" s="34" t="n">
        <v>156323.8806484372</v>
      </c>
      <c r="J12" s="34" t="n">
        <v>19426.88073772193</v>
      </c>
      <c r="K12" s="34" t="n">
        <v>51370.5559050734</v>
      </c>
      <c r="L12" s="34" t="n">
        <v>15897.61908833023</v>
      </c>
      <c r="M12" s="34" t="n">
        <v>143981.0715485674</v>
      </c>
      <c r="N12" s="34" t="n">
        <v>147509.3552401499</v>
      </c>
      <c r="O12" s="16">
        <f>SUM(C12:N12)</f>
        <v/>
      </c>
      <c r="P12" s="7">
        <f>Annual_Production!M5</f>
        <v/>
      </c>
      <c r="Q12" s="16">
        <f>IF(O12&gt;0,O12-P12,"")</f>
        <v/>
      </c>
    </row>
    <row r="13">
      <c r="A13" s="6" t="inlineStr">
        <is>
          <t>Bani</t>
        </is>
      </c>
      <c r="B13" s="6" t="n">
        <v>2025</v>
      </c>
      <c r="C13" s="34" t="n">
        <v>287.3748187882593</v>
      </c>
      <c r="D13" s="34" t="n">
        <v>2251.872371268338</v>
      </c>
      <c r="E13" s="34" t="n">
        <v>8617.227903931172</v>
      </c>
      <c r="F13" s="34" t="n">
        <v>255704.023787701</v>
      </c>
      <c r="G13" s="34" t="n">
        <v>91176.82143837585</v>
      </c>
      <c r="H13" s="34" t="n">
        <v>165904.7462732643</v>
      </c>
      <c r="I13" s="34" t="n">
        <v>30176.82995404054</v>
      </c>
      <c r="J13" s="34" t="n">
        <v>2002.668012245909</v>
      </c>
      <c r="K13" s="34" t="n">
        <v>19162.01030321166</v>
      </c>
      <c r="L13" s="34" t="n">
        <v>20271.03726523607</v>
      </c>
      <c r="M13" s="34" t="n">
        <v>6264.41520879269</v>
      </c>
      <c r="N13" s="34" t="n">
        <v>5980.972663144814</v>
      </c>
      <c r="O13" s="16">
        <f>SUM(C13:N13)</f>
        <v/>
      </c>
      <c r="P13" s="7">
        <f>Annual_Production!M6</f>
        <v/>
      </c>
      <c r="Q13" s="16">
        <f>IF(O13&gt;0,O13-P13,"")</f>
        <v/>
      </c>
    </row>
    <row r="14">
      <c r="A14" s="6" t="inlineStr">
        <is>
          <t>Bolinao</t>
        </is>
      </c>
      <c r="B14" s="6" t="n">
        <v>2025</v>
      </c>
      <c r="C14" s="34" t="n">
        <v>11286.10008179644</v>
      </c>
      <c r="D14" s="34" t="n">
        <v>14987.71941453216</v>
      </c>
      <c r="E14" s="34" t="n">
        <v>175933.2796668604</v>
      </c>
      <c r="F14" s="34" t="n">
        <v>2358217.877160066</v>
      </c>
      <c r="G14" s="34" t="n">
        <v>1175057.008717266</v>
      </c>
      <c r="H14" s="34" t="n">
        <v>450213.5394774573</v>
      </c>
      <c r="I14" s="34" t="n">
        <v>128581.6573167921</v>
      </c>
      <c r="J14" s="34" t="n">
        <v>13164.23508964221</v>
      </c>
      <c r="K14" s="34" t="n">
        <v>9430.772716546868</v>
      </c>
      <c r="L14" s="34" t="n">
        <v>41131.63063688758</v>
      </c>
      <c r="M14" s="34" t="n">
        <v>24054.47254886786</v>
      </c>
      <c r="N14" s="34" t="n">
        <v>59858.70717328414</v>
      </c>
      <c r="O14" s="16">
        <f>SUM(C14:N14)</f>
        <v/>
      </c>
      <c r="P14" s="7">
        <f>Annual_Production!M7</f>
        <v/>
      </c>
      <c r="Q14" s="16">
        <f>IF(O14&gt;0,O14-P14,"")</f>
        <v/>
      </c>
    </row>
    <row r="15">
      <c r="A15" s="6" t="inlineStr">
        <is>
          <t>Dasol</t>
        </is>
      </c>
      <c r="B15" s="6" t="n">
        <v>2025</v>
      </c>
      <c r="C15" s="34" t="n">
        <v>502.6936951987625</v>
      </c>
      <c r="D15" s="34" t="n">
        <v>1585.436315281949</v>
      </c>
      <c r="E15" s="34" t="n">
        <v>108064.4471106197</v>
      </c>
      <c r="F15" s="34" t="n">
        <v>321819.4377447958</v>
      </c>
      <c r="G15" s="34" t="n">
        <v>91899.92883147002</v>
      </c>
      <c r="H15" s="34" t="n">
        <v>139363.5177664937</v>
      </c>
      <c r="I15" s="34" t="n">
        <v>12499.81201489657</v>
      </c>
      <c r="J15" s="34" t="n">
        <v>17444.4770662705</v>
      </c>
      <c r="K15" s="34" t="n">
        <v>13471.38843669015</v>
      </c>
      <c r="L15" s="34" t="n">
        <v>12601.39860663928</v>
      </c>
      <c r="M15" s="34" t="n">
        <v>11745.98363077229</v>
      </c>
      <c r="N15" s="34" t="n">
        <v>45415.47878087079</v>
      </c>
      <c r="O15" s="16">
        <f>SUM(C15:N15)</f>
        <v/>
      </c>
      <c r="P15" s="7">
        <f>Annual_Production!M8</f>
        <v/>
      </c>
      <c r="Q15" s="16">
        <f>IF(O15&gt;0,O15-P15,"")</f>
        <v/>
      </c>
    </row>
    <row r="16">
      <c r="A16" s="6" t="inlineStr">
        <is>
          <t>Infanta</t>
        </is>
      </c>
      <c r="B16" s="6" t="n">
        <v>2025</v>
      </c>
      <c r="C16" s="34" t="n">
        <v>1284.921243187423</v>
      </c>
      <c r="D16" s="34" t="n">
        <v>45345.90042251272</v>
      </c>
      <c r="E16" s="34" t="n">
        <v>90836.8941921519</v>
      </c>
      <c r="F16" s="34" t="n">
        <v>276838.3581817814</v>
      </c>
      <c r="G16" s="34" t="n">
        <v>296264.4131790861</v>
      </c>
      <c r="H16" s="34" t="n">
        <v>361496.4189535455</v>
      </c>
      <c r="I16" s="34" t="n">
        <v>27202.73009306097</v>
      </c>
      <c r="J16" s="34" t="n">
        <v>59180.54462691434</v>
      </c>
      <c r="K16" s="34" t="n">
        <v>75126.32222267918</v>
      </c>
      <c r="L16" s="34" t="n">
        <v>76527.28152922585</v>
      </c>
      <c r="M16" s="34" t="n">
        <v>36160.4283185955</v>
      </c>
      <c r="N16" s="34" t="n">
        <v>90358.78703726013</v>
      </c>
      <c r="O16" s="16">
        <f>SUM(C16:N16)</f>
        <v/>
      </c>
      <c r="P16" s="7">
        <f>Annual_Production!M9</f>
        <v/>
      </c>
      <c r="Q16" s="16">
        <f>IF(O16&gt;0,O16-P16,"")</f>
        <v/>
      </c>
    </row>
    <row r="17">
      <c r="A17" s="6" t="inlineStr">
        <is>
          <t>San Fabian</t>
        </is>
      </c>
      <c r="B17" s="6" t="n">
        <v>2025</v>
      </c>
      <c r="C17" s="34" t="n">
        <v>184.1382291304532</v>
      </c>
      <c r="D17" s="34" t="n">
        <v>216.7598531999776</v>
      </c>
      <c r="E17" s="34" t="n">
        <v>4153.162661631751</v>
      </c>
      <c r="F17" s="34" t="n">
        <v>4525.178573154439</v>
      </c>
      <c r="G17" s="34" t="n">
        <v>73506.02672059239</v>
      </c>
      <c r="H17" s="34" t="n">
        <v>7741.474989925708</v>
      </c>
      <c r="I17" s="34" t="n">
        <v>5794.972672279993</v>
      </c>
      <c r="J17" s="34" t="n">
        <v>138.6623994355189</v>
      </c>
      <c r="K17" s="34" t="n">
        <v>908.200092294449</v>
      </c>
      <c r="L17" s="34" t="n">
        <v>1065.105295577911</v>
      </c>
      <c r="M17" s="34" t="n">
        <v>5551.364920826553</v>
      </c>
      <c r="N17" s="34" t="n">
        <v>2214.95359195082</v>
      </c>
      <c r="O17" s="16">
        <f>SUM(C17:N17)</f>
        <v/>
      </c>
      <c r="P17" s="7">
        <f>Annual_Production!M10</f>
        <v/>
      </c>
      <c r="Q17" s="16">
        <f>IF(O17&gt;0,O17-P17,"")</f>
        <v/>
      </c>
    </row>
    <row r="19">
      <c r="A19" s="2" t="inlineStr">
        <is>
          <t>Observed monthly values are rescaled so the row sums to the annual production used; a non-zero Difference shows how far your monthly records are from that annual figure.</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Q35"/>
  <sheetViews>
    <sheetView showGridLines="0" workbookViewId="0">
      <pane xSplit="2" ySplit="3" topLeftCell="I4" activePane="bottomRight" state="frozen"/>
      <selection activeCell="A1" sqref="A1"/>
      <selection pane="topRight" activeCell="A1" sqref="A1"/>
      <selection pane="bottomLeft" activeCell="A1" sqref="A1"/>
      <selection pane="bottomRight" activeCell="A18" sqref="A18:Q18"/>
    </sheetView>
  </sheetViews>
  <sheetFormatPr baseColWidth="8" defaultColWidth="8.675925925925929" defaultRowHeight="14.4"/>
  <cols>
    <col width="40" customWidth="1" min="1" max="1"/>
    <col width="16" customWidth="1" min="2" max="2"/>
    <col width="11" customWidth="1" min="3" max="14"/>
    <col width="14" customWidth="1" min="15" max="15"/>
    <col width="12" customWidth="1" min="16" max="16"/>
    <col width="14" customWidth="1" min="17" max="17"/>
  </cols>
  <sheetData>
    <row r="1" ht="17.4" customHeight="1">
      <c r="A1" s="1" t="inlineStr">
        <is>
          <t>Estimated monthly salt production per municipality (kg)</t>
        </is>
      </c>
    </row>
    <row r="2">
      <c r="A2" s="2" t="inlineStr">
        <is>
          <t>Monthly = annual production used × monthly share. Method and basis follow Assumptions.</t>
        </is>
      </c>
    </row>
    <row r="3">
      <c r="A3" s="23" t="inlineStr">
        <is>
          <t>2024</t>
        </is>
      </c>
    </row>
    <row r="4" ht="42" customHeight="1">
      <c r="A4" s="5" t="inlineStr">
        <is>
          <t>Municipality</t>
        </is>
      </c>
      <c r="B4" s="5" t="inlineStr">
        <is>
          <t>Annual source</t>
        </is>
      </c>
      <c r="C4" s="5" t="inlineStr">
        <is>
          <t>Jan</t>
        </is>
      </c>
      <c r="D4" s="5" t="inlineStr">
        <is>
          <t>Feb</t>
        </is>
      </c>
      <c r="E4" s="5" t="inlineStr">
        <is>
          <t>Mar</t>
        </is>
      </c>
      <c r="F4" s="5" t="inlineStr">
        <is>
          <t>Apr</t>
        </is>
      </c>
      <c r="G4" s="5" t="inlineStr">
        <is>
          <t>May</t>
        </is>
      </c>
      <c r="H4" s="5" t="inlineStr">
        <is>
          <t>Jun</t>
        </is>
      </c>
      <c r="I4" s="5" t="inlineStr">
        <is>
          <t>Jul</t>
        </is>
      </c>
      <c r="J4" s="5" t="inlineStr">
        <is>
          <t>Aug</t>
        </is>
      </c>
      <c r="K4" s="5" t="inlineStr">
        <is>
          <t>Sep</t>
        </is>
      </c>
      <c r="L4" s="5" t="inlineStr">
        <is>
          <t>Oct</t>
        </is>
      </c>
      <c r="M4" s="5" t="inlineStr">
        <is>
          <t>Nov</t>
        </is>
      </c>
      <c r="N4" s="5" t="inlineStr">
        <is>
          <t>Dec</t>
        </is>
      </c>
      <c r="O4" s="5" t="inlineStr">
        <is>
          <t>Total (kg)</t>
        </is>
      </c>
      <c r="P4" s="5" t="inlineStr">
        <is>
          <t>Total (MT)</t>
        </is>
      </c>
      <c r="Q4" s="5" t="inlineStr">
        <is>
          <t>Check vs annual</t>
        </is>
      </c>
    </row>
    <row r="5">
      <c r="A5" s="18" t="inlineStr">
        <is>
          <t>Alaminos City</t>
        </is>
      </c>
      <c r="B5" s="11">
        <f>Annual_Production!I4</f>
        <v/>
      </c>
      <c r="C5" s="16">
        <f>Annual_Production!$L4*Shares!D4</f>
        <v/>
      </c>
      <c r="D5" s="16">
        <f>Annual_Production!$L4*Shares!E4</f>
        <v/>
      </c>
      <c r="E5" s="16">
        <f>Annual_Production!$L4*Shares!F4</f>
        <v/>
      </c>
      <c r="F5" s="16">
        <f>Annual_Production!$L4*Shares!G4</f>
        <v/>
      </c>
      <c r="G5" s="16">
        <f>Annual_Production!$L4*Shares!H4</f>
        <v/>
      </c>
      <c r="H5" s="16">
        <f>Annual_Production!$L4*Shares!I4</f>
        <v/>
      </c>
      <c r="I5" s="16">
        <f>Annual_Production!$L4*Shares!J4</f>
        <v/>
      </c>
      <c r="J5" s="16">
        <f>Annual_Production!$L4*Shares!K4</f>
        <v/>
      </c>
      <c r="K5" s="16">
        <f>Annual_Production!$L4*Shares!L4</f>
        <v/>
      </c>
      <c r="L5" s="16">
        <f>Annual_Production!$L4*Shares!M4</f>
        <v/>
      </c>
      <c r="M5" s="16">
        <f>Annual_Production!$L4*Shares!N4</f>
        <v/>
      </c>
      <c r="N5" s="16">
        <f>Annual_Production!$L4*Shares!O4</f>
        <v/>
      </c>
      <c r="O5" s="29">
        <f>SUM(C5:N5)</f>
        <v/>
      </c>
      <c r="P5" s="62">
        <f>O5/1000</f>
        <v/>
      </c>
      <c r="Q5" s="9">
        <f>ROUND(O5-Annual_Production!L4,2)</f>
        <v/>
      </c>
    </row>
    <row r="6">
      <c r="A6" s="18" t="inlineStr">
        <is>
          <t>Anda</t>
        </is>
      </c>
      <c r="B6" s="11">
        <f>Annual_Production!I5</f>
        <v/>
      </c>
      <c r="C6" s="16">
        <f>Annual_Production!$L5*Shares!D5</f>
        <v/>
      </c>
      <c r="D6" s="16">
        <f>Annual_Production!$L5*Shares!E5</f>
        <v/>
      </c>
      <c r="E6" s="16">
        <f>Annual_Production!$L5*Shares!F5</f>
        <v/>
      </c>
      <c r="F6" s="16">
        <f>Annual_Production!$L5*Shares!G5</f>
        <v/>
      </c>
      <c r="G6" s="16">
        <f>Annual_Production!$L5*Shares!H5</f>
        <v/>
      </c>
      <c r="H6" s="16">
        <f>Annual_Production!$L5*Shares!I5</f>
        <v/>
      </c>
      <c r="I6" s="16">
        <f>Annual_Production!$L5*Shares!J5</f>
        <v/>
      </c>
      <c r="J6" s="16">
        <f>Annual_Production!$L5*Shares!K5</f>
        <v/>
      </c>
      <c r="K6" s="16">
        <f>Annual_Production!$L5*Shares!L5</f>
        <v/>
      </c>
      <c r="L6" s="16">
        <f>Annual_Production!$L5*Shares!M5</f>
        <v/>
      </c>
      <c r="M6" s="16">
        <f>Annual_Production!$L5*Shares!N5</f>
        <v/>
      </c>
      <c r="N6" s="16">
        <f>Annual_Production!$L5*Shares!O5</f>
        <v/>
      </c>
      <c r="O6" s="29">
        <f>SUM(C6:N6)</f>
        <v/>
      </c>
      <c r="P6" s="62">
        <f>O6/1000</f>
        <v/>
      </c>
      <c r="Q6" s="9">
        <f>ROUND(O6-Annual_Production!L5,2)</f>
        <v/>
      </c>
    </row>
    <row r="7">
      <c r="A7" s="18" t="inlineStr">
        <is>
          <t>Bani</t>
        </is>
      </c>
      <c r="B7" s="11">
        <f>Annual_Production!I6</f>
        <v/>
      </c>
      <c r="C7" s="16">
        <f>Annual_Production!$L6*Shares!D6</f>
        <v/>
      </c>
      <c r="D7" s="16">
        <f>Annual_Production!$L6*Shares!E6</f>
        <v/>
      </c>
      <c r="E7" s="16">
        <f>Annual_Production!$L6*Shares!F6</f>
        <v/>
      </c>
      <c r="F7" s="16">
        <f>Annual_Production!$L6*Shares!G6</f>
        <v/>
      </c>
      <c r="G7" s="16">
        <f>Annual_Production!$L6*Shares!H6</f>
        <v/>
      </c>
      <c r="H7" s="16">
        <f>Annual_Production!$L6*Shares!I6</f>
        <v/>
      </c>
      <c r="I7" s="16">
        <f>Annual_Production!$L6*Shares!J6</f>
        <v/>
      </c>
      <c r="J7" s="16">
        <f>Annual_Production!$L6*Shares!K6</f>
        <v/>
      </c>
      <c r="K7" s="16">
        <f>Annual_Production!$L6*Shares!L6</f>
        <v/>
      </c>
      <c r="L7" s="16">
        <f>Annual_Production!$L6*Shares!M6</f>
        <v/>
      </c>
      <c r="M7" s="16">
        <f>Annual_Production!$L6*Shares!N6</f>
        <v/>
      </c>
      <c r="N7" s="16">
        <f>Annual_Production!$L6*Shares!O6</f>
        <v/>
      </c>
      <c r="O7" s="29">
        <f>SUM(C7:N7)</f>
        <v/>
      </c>
      <c r="P7" s="62">
        <f>O7/1000</f>
        <v/>
      </c>
      <c r="Q7" s="9">
        <f>ROUND(O7-Annual_Production!L6,2)</f>
        <v/>
      </c>
    </row>
    <row r="8">
      <c r="A8" s="18" t="inlineStr">
        <is>
          <t>Bolinao</t>
        </is>
      </c>
      <c r="B8" s="11">
        <f>Annual_Production!I7</f>
        <v/>
      </c>
      <c r="C8" s="16">
        <f>Annual_Production!$L7*Shares!D7</f>
        <v/>
      </c>
      <c r="D8" s="16">
        <f>Annual_Production!$L7*Shares!E7</f>
        <v/>
      </c>
      <c r="E8" s="16">
        <f>Annual_Production!$L7*Shares!F7</f>
        <v/>
      </c>
      <c r="F8" s="16">
        <f>Annual_Production!$L7*Shares!G7</f>
        <v/>
      </c>
      <c r="G8" s="16">
        <f>Annual_Production!$L7*Shares!H7</f>
        <v/>
      </c>
      <c r="H8" s="16">
        <f>Annual_Production!$L7*Shares!I7</f>
        <v/>
      </c>
      <c r="I8" s="16">
        <f>Annual_Production!$L7*Shares!J7</f>
        <v/>
      </c>
      <c r="J8" s="16">
        <f>Annual_Production!$L7*Shares!K7</f>
        <v/>
      </c>
      <c r="K8" s="16">
        <f>Annual_Production!$L7*Shares!L7</f>
        <v/>
      </c>
      <c r="L8" s="16">
        <f>Annual_Production!$L7*Shares!M7</f>
        <v/>
      </c>
      <c r="M8" s="16">
        <f>Annual_Production!$L7*Shares!N7</f>
        <v/>
      </c>
      <c r="N8" s="16">
        <f>Annual_Production!$L7*Shares!O7</f>
        <v/>
      </c>
      <c r="O8" s="29">
        <f>SUM(C8:N8)</f>
        <v/>
      </c>
      <c r="P8" s="62">
        <f>O8/1000</f>
        <v/>
      </c>
      <c r="Q8" s="9">
        <f>ROUND(O8-Annual_Production!L7,2)</f>
        <v/>
      </c>
    </row>
    <row r="9">
      <c r="A9" s="18" t="inlineStr">
        <is>
          <t>Dasol</t>
        </is>
      </c>
      <c r="B9" s="11">
        <f>Annual_Production!I8</f>
        <v/>
      </c>
      <c r="C9" s="16">
        <f>Annual_Production!$L8*Shares!D8</f>
        <v/>
      </c>
      <c r="D9" s="16">
        <f>Annual_Production!$L8*Shares!E8</f>
        <v/>
      </c>
      <c r="E9" s="16">
        <f>Annual_Production!$L8*Shares!F8</f>
        <v/>
      </c>
      <c r="F9" s="16">
        <f>Annual_Production!$L8*Shares!G8</f>
        <v/>
      </c>
      <c r="G9" s="16">
        <f>Annual_Production!$L8*Shares!H8</f>
        <v/>
      </c>
      <c r="H9" s="16">
        <f>Annual_Production!$L8*Shares!I8</f>
        <v/>
      </c>
      <c r="I9" s="16">
        <f>Annual_Production!$L8*Shares!J8</f>
        <v/>
      </c>
      <c r="J9" s="16">
        <f>Annual_Production!$L8*Shares!K8</f>
        <v/>
      </c>
      <c r="K9" s="16">
        <f>Annual_Production!$L8*Shares!L8</f>
        <v/>
      </c>
      <c r="L9" s="16">
        <f>Annual_Production!$L8*Shares!M8</f>
        <v/>
      </c>
      <c r="M9" s="16">
        <f>Annual_Production!$L8*Shares!N8</f>
        <v/>
      </c>
      <c r="N9" s="16">
        <f>Annual_Production!$L8*Shares!O8</f>
        <v/>
      </c>
      <c r="O9" s="29">
        <f>SUM(C9:N9)</f>
        <v/>
      </c>
      <c r="P9" s="62">
        <f>O9/1000</f>
        <v/>
      </c>
      <c r="Q9" s="9">
        <f>ROUND(O9-Annual_Production!L8,2)</f>
        <v/>
      </c>
    </row>
    <row r="10">
      <c r="A10" s="18" t="inlineStr">
        <is>
          <t>Infanta</t>
        </is>
      </c>
      <c r="B10" s="11">
        <f>Annual_Production!I9</f>
        <v/>
      </c>
      <c r="C10" s="16">
        <f>Annual_Production!$L9*Shares!D9</f>
        <v/>
      </c>
      <c r="D10" s="16">
        <f>Annual_Production!$L9*Shares!E9</f>
        <v/>
      </c>
      <c r="E10" s="16">
        <f>Annual_Production!$L9*Shares!F9</f>
        <v/>
      </c>
      <c r="F10" s="16">
        <f>Annual_Production!$L9*Shares!G9</f>
        <v/>
      </c>
      <c r="G10" s="16">
        <f>Annual_Production!$L9*Shares!H9</f>
        <v/>
      </c>
      <c r="H10" s="16">
        <f>Annual_Production!$L9*Shares!I9</f>
        <v/>
      </c>
      <c r="I10" s="16">
        <f>Annual_Production!$L9*Shares!J9</f>
        <v/>
      </c>
      <c r="J10" s="16">
        <f>Annual_Production!$L9*Shares!K9</f>
        <v/>
      </c>
      <c r="K10" s="16">
        <f>Annual_Production!$L9*Shares!L9</f>
        <v/>
      </c>
      <c r="L10" s="16">
        <f>Annual_Production!$L9*Shares!M9</f>
        <v/>
      </c>
      <c r="M10" s="16">
        <f>Annual_Production!$L9*Shares!N9</f>
        <v/>
      </c>
      <c r="N10" s="16">
        <f>Annual_Production!$L9*Shares!O9</f>
        <v/>
      </c>
      <c r="O10" s="29">
        <f>SUM(C10:N10)</f>
        <v/>
      </c>
      <c r="P10" s="62">
        <f>O10/1000</f>
        <v/>
      </c>
      <c r="Q10" s="9">
        <f>ROUND(O10-Annual_Production!L9,2)</f>
        <v/>
      </c>
    </row>
    <row r="11">
      <c r="A11" s="18" t="inlineStr">
        <is>
          <t>San Fabian</t>
        </is>
      </c>
      <c r="B11" s="11">
        <f>Annual_Production!I10</f>
        <v/>
      </c>
      <c r="C11" s="16">
        <f>Annual_Production!$L10*Shares!D10</f>
        <v/>
      </c>
      <c r="D11" s="16">
        <f>Annual_Production!$L10*Shares!E10</f>
        <v/>
      </c>
      <c r="E11" s="16">
        <f>Annual_Production!$L10*Shares!F10</f>
        <v/>
      </c>
      <c r="F11" s="16">
        <f>Annual_Production!$L10*Shares!G10</f>
        <v/>
      </c>
      <c r="G11" s="16">
        <f>Annual_Production!$L10*Shares!H10</f>
        <v/>
      </c>
      <c r="H11" s="16">
        <f>Annual_Production!$L10*Shares!I10</f>
        <v/>
      </c>
      <c r="I11" s="16">
        <f>Annual_Production!$L10*Shares!J10</f>
        <v/>
      </c>
      <c r="J11" s="16">
        <f>Annual_Production!$L10*Shares!K10</f>
        <v/>
      </c>
      <c r="K11" s="16">
        <f>Annual_Production!$L10*Shares!L10</f>
        <v/>
      </c>
      <c r="L11" s="16">
        <f>Annual_Production!$L10*Shares!M10</f>
        <v/>
      </c>
      <c r="M11" s="16">
        <f>Annual_Production!$L10*Shares!N10</f>
        <v/>
      </c>
      <c r="N11" s="16">
        <f>Annual_Production!$L10*Shares!O10</f>
        <v/>
      </c>
      <c r="O11" s="29">
        <f>SUM(C11:N11)</f>
        <v/>
      </c>
      <c r="P11" s="62">
        <f>O11/1000</f>
        <v/>
      </c>
      <c r="Q11" s="9">
        <f>ROUND(O11-Annual_Production!L10,2)</f>
        <v/>
      </c>
    </row>
    <row r="12">
      <c r="A12" s="18" t="inlineStr">
        <is>
          <t>Estimated total – 7 municipalities</t>
        </is>
      </c>
      <c r="C12" s="29">
        <f>SUM(C5:C11)</f>
        <v/>
      </c>
      <c r="D12" s="29">
        <f>SUM(D5:D11)</f>
        <v/>
      </c>
      <c r="E12" s="29">
        <f>SUM(E5:E11)</f>
        <v/>
      </c>
      <c r="F12" s="29">
        <f>SUM(F5:F11)</f>
        <v/>
      </c>
      <c r="G12" s="29">
        <f>SUM(G5:G11)</f>
        <v/>
      </c>
      <c r="H12" s="29">
        <f>SUM(H5:H11)</f>
        <v/>
      </c>
      <c r="I12" s="29">
        <f>SUM(I5:I11)</f>
        <v/>
      </c>
      <c r="J12" s="29">
        <f>SUM(J5:J11)</f>
        <v/>
      </c>
      <c r="K12" s="29">
        <f>SUM(K5:K11)</f>
        <v/>
      </c>
      <c r="L12" s="29">
        <f>SUM(L5:L11)</f>
        <v/>
      </c>
      <c r="M12" s="29">
        <f>SUM(M5:M11)</f>
        <v/>
      </c>
      <c r="N12" s="29">
        <f>SUM(N5:N11)</f>
        <v/>
      </c>
      <c r="O12" s="29">
        <f>SUM(O5:O11)</f>
        <v/>
      </c>
      <c r="P12" s="63">
        <f>SUM(P5:P11)</f>
        <v/>
      </c>
    </row>
    <row r="13">
      <c r="A13" s="13" t="inlineStr">
        <is>
          <t>FOI provincial monthly (observed, reference)</t>
        </is>
      </c>
      <c r="C13" s="7">
        <f>Seasonal_Profile!B4</f>
        <v/>
      </c>
      <c r="D13" s="7">
        <f>Seasonal_Profile!C4</f>
        <v/>
      </c>
      <c r="E13" s="7">
        <f>Seasonal_Profile!D4</f>
        <v/>
      </c>
      <c r="F13" s="7">
        <f>Seasonal_Profile!E4</f>
        <v/>
      </c>
      <c r="G13" s="7">
        <f>Seasonal_Profile!F4</f>
        <v/>
      </c>
      <c r="H13" s="7">
        <f>Seasonal_Profile!G4</f>
        <v/>
      </c>
      <c r="I13" s="7">
        <f>Seasonal_Profile!H4</f>
        <v/>
      </c>
      <c r="J13" s="7">
        <f>Seasonal_Profile!I4</f>
        <v/>
      </c>
      <c r="K13" s="7">
        <f>Seasonal_Profile!J4</f>
        <v/>
      </c>
      <c r="L13" s="7">
        <f>Seasonal_Profile!K4</f>
        <v/>
      </c>
      <c r="M13" s="7">
        <f>Seasonal_Profile!L4</f>
        <v/>
      </c>
      <c r="N13" s="7">
        <f>Seasonal_Profile!M4</f>
        <v/>
      </c>
      <c r="O13" s="32">
        <f>SUM(C13:N13)</f>
        <v/>
      </c>
    </row>
    <row r="17">
      <c r="A17" s="23" t="inlineStr">
        <is>
          <t>2025</t>
        </is>
      </c>
    </row>
    <row r="18" ht="42" customHeight="1">
      <c r="A18" s="5" t="inlineStr">
        <is>
          <t>Municipality</t>
        </is>
      </c>
      <c r="B18" s="5" t="inlineStr">
        <is>
          <t>Annual source</t>
        </is>
      </c>
      <c r="C18" s="5" t="inlineStr">
        <is>
          <t>Jan</t>
        </is>
      </c>
      <c r="D18" s="5" t="inlineStr">
        <is>
          <t>Feb</t>
        </is>
      </c>
      <c r="E18" s="5" t="inlineStr">
        <is>
          <t>Mar</t>
        </is>
      </c>
      <c r="F18" s="5" t="inlineStr">
        <is>
          <t>Apr</t>
        </is>
      </c>
      <c r="G18" s="5" t="inlineStr">
        <is>
          <t>May</t>
        </is>
      </c>
      <c r="H18" s="5" t="inlineStr">
        <is>
          <t>Jun</t>
        </is>
      </c>
      <c r="I18" s="5" t="inlineStr">
        <is>
          <t>Jul</t>
        </is>
      </c>
      <c r="J18" s="5" t="inlineStr">
        <is>
          <t>Aug</t>
        </is>
      </c>
      <c r="K18" s="5" t="inlineStr">
        <is>
          <t>Sep</t>
        </is>
      </c>
      <c r="L18" s="5" t="inlineStr">
        <is>
          <t>Oct</t>
        </is>
      </c>
      <c r="M18" s="5" t="inlineStr">
        <is>
          <t>Nov</t>
        </is>
      </c>
      <c r="N18" s="5" t="inlineStr">
        <is>
          <t>Dec</t>
        </is>
      </c>
      <c r="O18" s="5" t="inlineStr">
        <is>
          <t>Total (kg)</t>
        </is>
      </c>
      <c r="P18" s="5" t="inlineStr">
        <is>
          <t>Total (MT)</t>
        </is>
      </c>
      <c r="Q18" s="5" t="inlineStr">
        <is>
          <t>Check vs annual</t>
        </is>
      </c>
    </row>
    <row r="19">
      <c r="A19" s="18" t="inlineStr">
        <is>
          <t>Alaminos City</t>
        </is>
      </c>
      <c r="B19" s="11">
        <f>Annual_Production!J4</f>
        <v/>
      </c>
      <c r="C19" s="16">
        <f>Annual_Production!$M4*Shares!D11</f>
        <v/>
      </c>
      <c r="D19" s="16">
        <f>Annual_Production!$M4*Shares!E11</f>
        <v/>
      </c>
      <c r="E19" s="16">
        <f>Annual_Production!$M4*Shares!F11</f>
        <v/>
      </c>
      <c r="F19" s="16">
        <f>Annual_Production!$M4*Shares!G11</f>
        <v/>
      </c>
      <c r="G19" s="16">
        <f>Annual_Production!$M4*Shares!H11</f>
        <v/>
      </c>
      <c r="H19" s="16">
        <f>Annual_Production!$M4*Shares!I11</f>
        <v/>
      </c>
      <c r="I19" s="16">
        <f>Annual_Production!$M4*Shares!J11</f>
        <v/>
      </c>
      <c r="J19" s="16">
        <f>Annual_Production!$M4*Shares!K11</f>
        <v/>
      </c>
      <c r="K19" s="16">
        <f>Annual_Production!$M4*Shares!L11</f>
        <v/>
      </c>
      <c r="L19" s="16">
        <f>Annual_Production!$M4*Shares!M11</f>
        <v/>
      </c>
      <c r="M19" s="16">
        <f>Annual_Production!$M4*Shares!N11</f>
        <v/>
      </c>
      <c r="N19" s="16">
        <f>Annual_Production!$M4*Shares!O11</f>
        <v/>
      </c>
      <c r="O19" s="29">
        <f>SUM(C19:N19)</f>
        <v/>
      </c>
      <c r="P19" s="62">
        <f>O19/1000</f>
        <v/>
      </c>
      <c r="Q19" s="9">
        <f>ROUND(O19-Annual_Production!M4,2)</f>
        <v/>
      </c>
    </row>
    <row r="20">
      <c r="A20" s="18" t="inlineStr">
        <is>
          <t>Anda</t>
        </is>
      </c>
      <c r="B20" s="11">
        <f>Annual_Production!J5</f>
        <v/>
      </c>
      <c r="C20" s="16">
        <f>Annual_Production!$M5*Shares!D12</f>
        <v/>
      </c>
      <c r="D20" s="16">
        <f>Annual_Production!$M5*Shares!E12</f>
        <v/>
      </c>
      <c r="E20" s="16">
        <f>Annual_Production!$M5*Shares!F12</f>
        <v/>
      </c>
      <c r="F20" s="16">
        <f>Annual_Production!$M5*Shares!G12</f>
        <v/>
      </c>
      <c r="G20" s="16">
        <f>Annual_Production!$M5*Shares!H12</f>
        <v/>
      </c>
      <c r="H20" s="16">
        <f>Annual_Production!$M5*Shares!I12</f>
        <v/>
      </c>
      <c r="I20" s="16">
        <f>Annual_Production!$M5*Shares!J12</f>
        <v/>
      </c>
      <c r="J20" s="16">
        <f>Annual_Production!$M5*Shares!K12</f>
        <v/>
      </c>
      <c r="K20" s="16">
        <f>Annual_Production!$M5*Shares!L12</f>
        <v/>
      </c>
      <c r="L20" s="16">
        <f>Annual_Production!$M5*Shares!M12</f>
        <v/>
      </c>
      <c r="M20" s="16">
        <f>Annual_Production!$M5*Shares!N12</f>
        <v/>
      </c>
      <c r="N20" s="16">
        <f>Annual_Production!$M5*Shares!O12</f>
        <v/>
      </c>
      <c r="O20" s="29">
        <f>SUM(C20:N20)</f>
        <v/>
      </c>
      <c r="P20" s="62">
        <f>O20/1000</f>
        <v/>
      </c>
      <c r="Q20" s="9">
        <f>ROUND(O20-Annual_Production!M5,2)</f>
        <v/>
      </c>
    </row>
    <row r="21">
      <c r="A21" s="18" t="inlineStr">
        <is>
          <t>Bani</t>
        </is>
      </c>
      <c r="B21" s="11">
        <f>Annual_Production!J6</f>
        <v/>
      </c>
      <c r="C21" s="16">
        <f>Annual_Production!$M6*Shares!D13</f>
        <v/>
      </c>
      <c r="D21" s="16">
        <f>Annual_Production!$M6*Shares!E13</f>
        <v/>
      </c>
      <c r="E21" s="16">
        <f>Annual_Production!$M6*Shares!F13</f>
        <v/>
      </c>
      <c r="F21" s="16">
        <f>Annual_Production!$M6*Shares!G13</f>
        <v/>
      </c>
      <c r="G21" s="16">
        <f>Annual_Production!$M6*Shares!H13</f>
        <v/>
      </c>
      <c r="H21" s="16">
        <f>Annual_Production!$M6*Shares!I13</f>
        <v/>
      </c>
      <c r="I21" s="16">
        <f>Annual_Production!$M6*Shares!J13</f>
        <v/>
      </c>
      <c r="J21" s="16">
        <f>Annual_Production!$M6*Shares!K13</f>
        <v/>
      </c>
      <c r="K21" s="16">
        <f>Annual_Production!$M6*Shares!L13</f>
        <v/>
      </c>
      <c r="L21" s="16">
        <f>Annual_Production!$M6*Shares!M13</f>
        <v/>
      </c>
      <c r="M21" s="16">
        <f>Annual_Production!$M6*Shares!N13</f>
        <v/>
      </c>
      <c r="N21" s="16">
        <f>Annual_Production!$M6*Shares!O13</f>
        <v/>
      </c>
      <c r="O21" s="29">
        <f>SUM(C21:N21)</f>
        <v/>
      </c>
      <c r="P21" s="62">
        <f>O21/1000</f>
        <v/>
      </c>
      <c r="Q21" s="9">
        <f>ROUND(O21-Annual_Production!M6,2)</f>
        <v/>
      </c>
    </row>
    <row r="22">
      <c r="A22" s="18" t="inlineStr">
        <is>
          <t>Bolinao</t>
        </is>
      </c>
      <c r="B22" s="11">
        <f>Annual_Production!J7</f>
        <v/>
      </c>
      <c r="C22" s="16">
        <f>Annual_Production!$M7*Shares!D14</f>
        <v/>
      </c>
      <c r="D22" s="16">
        <f>Annual_Production!$M7*Shares!E14</f>
        <v/>
      </c>
      <c r="E22" s="16">
        <f>Annual_Production!$M7*Shares!F14</f>
        <v/>
      </c>
      <c r="F22" s="16">
        <f>Annual_Production!$M7*Shares!G14</f>
        <v/>
      </c>
      <c r="G22" s="16">
        <f>Annual_Production!$M7*Shares!H14</f>
        <v/>
      </c>
      <c r="H22" s="16">
        <f>Annual_Production!$M7*Shares!I14</f>
        <v/>
      </c>
      <c r="I22" s="16">
        <f>Annual_Production!$M7*Shares!J14</f>
        <v/>
      </c>
      <c r="J22" s="16">
        <f>Annual_Production!$M7*Shares!K14</f>
        <v/>
      </c>
      <c r="K22" s="16">
        <f>Annual_Production!$M7*Shares!L14</f>
        <v/>
      </c>
      <c r="L22" s="16">
        <f>Annual_Production!$M7*Shares!M14</f>
        <v/>
      </c>
      <c r="M22" s="16">
        <f>Annual_Production!$M7*Shares!N14</f>
        <v/>
      </c>
      <c r="N22" s="16">
        <f>Annual_Production!$M7*Shares!O14</f>
        <v/>
      </c>
      <c r="O22" s="29">
        <f>SUM(C22:N22)</f>
        <v/>
      </c>
      <c r="P22" s="62">
        <f>O22/1000</f>
        <v/>
      </c>
      <c r="Q22" s="9">
        <f>ROUND(O22-Annual_Production!M7,2)</f>
        <v/>
      </c>
    </row>
    <row r="23">
      <c r="A23" s="18" t="inlineStr">
        <is>
          <t>Dasol</t>
        </is>
      </c>
      <c r="B23" s="11">
        <f>Annual_Production!J8</f>
        <v/>
      </c>
      <c r="C23" s="16">
        <f>Annual_Production!$M8*Shares!D15</f>
        <v/>
      </c>
      <c r="D23" s="16">
        <f>Annual_Production!$M8*Shares!E15</f>
        <v/>
      </c>
      <c r="E23" s="16">
        <f>Annual_Production!$M8*Shares!F15</f>
        <v/>
      </c>
      <c r="F23" s="16">
        <f>Annual_Production!$M8*Shares!G15</f>
        <v/>
      </c>
      <c r="G23" s="16">
        <f>Annual_Production!$M8*Shares!H15</f>
        <v/>
      </c>
      <c r="H23" s="16">
        <f>Annual_Production!$M8*Shares!I15</f>
        <v/>
      </c>
      <c r="I23" s="16">
        <f>Annual_Production!$M8*Shares!J15</f>
        <v/>
      </c>
      <c r="J23" s="16">
        <f>Annual_Production!$M8*Shares!K15</f>
        <v/>
      </c>
      <c r="K23" s="16">
        <f>Annual_Production!$M8*Shares!L15</f>
        <v/>
      </c>
      <c r="L23" s="16">
        <f>Annual_Production!$M8*Shares!M15</f>
        <v/>
      </c>
      <c r="M23" s="16">
        <f>Annual_Production!$M8*Shares!N15</f>
        <v/>
      </c>
      <c r="N23" s="16">
        <f>Annual_Production!$M8*Shares!O15</f>
        <v/>
      </c>
      <c r="O23" s="29">
        <f>SUM(C23:N23)</f>
        <v/>
      </c>
      <c r="P23" s="62">
        <f>O23/1000</f>
        <v/>
      </c>
      <c r="Q23" s="9">
        <f>ROUND(O23-Annual_Production!M8,2)</f>
        <v/>
      </c>
    </row>
    <row r="24">
      <c r="A24" s="18" t="inlineStr">
        <is>
          <t>Infanta</t>
        </is>
      </c>
      <c r="B24" s="11">
        <f>Annual_Production!J9</f>
        <v/>
      </c>
      <c r="C24" s="16">
        <f>Annual_Production!$M9*Shares!D16</f>
        <v/>
      </c>
      <c r="D24" s="16">
        <f>Annual_Production!$M9*Shares!E16</f>
        <v/>
      </c>
      <c r="E24" s="16">
        <f>Annual_Production!$M9*Shares!F16</f>
        <v/>
      </c>
      <c r="F24" s="16">
        <f>Annual_Production!$M9*Shares!G16</f>
        <v/>
      </c>
      <c r="G24" s="16">
        <f>Annual_Production!$M9*Shares!H16</f>
        <v/>
      </c>
      <c r="H24" s="16">
        <f>Annual_Production!$M9*Shares!I16</f>
        <v/>
      </c>
      <c r="I24" s="16">
        <f>Annual_Production!$M9*Shares!J16</f>
        <v/>
      </c>
      <c r="J24" s="16">
        <f>Annual_Production!$M9*Shares!K16</f>
        <v/>
      </c>
      <c r="K24" s="16">
        <f>Annual_Production!$M9*Shares!L16</f>
        <v/>
      </c>
      <c r="L24" s="16">
        <f>Annual_Production!$M9*Shares!M16</f>
        <v/>
      </c>
      <c r="M24" s="16">
        <f>Annual_Production!$M9*Shares!N16</f>
        <v/>
      </c>
      <c r="N24" s="16">
        <f>Annual_Production!$M9*Shares!O16</f>
        <v/>
      </c>
      <c r="O24" s="29">
        <f>SUM(C24:N24)</f>
        <v/>
      </c>
      <c r="P24" s="62">
        <f>O24/1000</f>
        <v/>
      </c>
      <c r="Q24" s="9">
        <f>ROUND(O24-Annual_Production!M9,2)</f>
        <v/>
      </c>
    </row>
    <row r="25">
      <c r="A25" s="18" t="inlineStr">
        <is>
          <t>San Fabian</t>
        </is>
      </c>
      <c r="B25" s="11">
        <f>Annual_Production!J10</f>
        <v/>
      </c>
      <c r="C25" s="16">
        <f>Annual_Production!$M10*Shares!D17</f>
        <v/>
      </c>
      <c r="D25" s="16">
        <f>Annual_Production!$M10*Shares!E17</f>
        <v/>
      </c>
      <c r="E25" s="16">
        <f>Annual_Production!$M10*Shares!F17</f>
        <v/>
      </c>
      <c r="F25" s="16">
        <f>Annual_Production!$M10*Shares!G17</f>
        <v/>
      </c>
      <c r="G25" s="16">
        <f>Annual_Production!$M10*Shares!H17</f>
        <v/>
      </c>
      <c r="H25" s="16">
        <f>Annual_Production!$M10*Shares!I17</f>
        <v/>
      </c>
      <c r="I25" s="16">
        <f>Annual_Production!$M10*Shares!J17</f>
        <v/>
      </c>
      <c r="J25" s="16">
        <f>Annual_Production!$M10*Shares!K17</f>
        <v/>
      </c>
      <c r="K25" s="16">
        <f>Annual_Production!$M10*Shares!L17</f>
        <v/>
      </c>
      <c r="L25" s="16">
        <f>Annual_Production!$M10*Shares!M17</f>
        <v/>
      </c>
      <c r="M25" s="16">
        <f>Annual_Production!$M10*Shares!N17</f>
        <v/>
      </c>
      <c r="N25" s="16">
        <f>Annual_Production!$M10*Shares!O17</f>
        <v/>
      </c>
      <c r="O25" s="29">
        <f>SUM(C25:N25)</f>
        <v/>
      </c>
      <c r="P25" s="62">
        <f>O25/1000</f>
        <v/>
      </c>
      <c r="Q25" s="9">
        <f>ROUND(O25-Annual_Production!M10,2)</f>
        <v/>
      </c>
    </row>
    <row r="26">
      <c r="A26" s="18" t="inlineStr">
        <is>
          <t>Estimated total – 7 municipalities</t>
        </is>
      </c>
      <c r="C26" s="29">
        <f>SUM(C19:C25)</f>
        <v/>
      </c>
      <c r="D26" s="29">
        <f>SUM(D19:D25)</f>
        <v/>
      </c>
      <c r="E26" s="29">
        <f>SUM(E19:E25)</f>
        <v/>
      </c>
      <c r="F26" s="29">
        <f>SUM(F19:F25)</f>
        <v/>
      </c>
      <c r="G26" s="29">
        <f>SUM(G19:G25)</f>
        <v/>
      </c>
      <c r="H26" s="29">
        <f>SUM(H19:H25)</f>
        <v/>
      </c>
      <c r="I26" s="29">
        <f>SUM(I19:I25)</f>
        <v/>
      </c>
      <c r="J26" s="29">
        <f>SUM(J19:J25)</f>
        <v/>
      </c>
      <c r="K26" s="29">
        <f>SUM(K19:K25)</f>
        <v/>
      </c>
      <c r="L26" s="29">
        <f>SUM(L19:L25)</f>
        <v/>
      </c>
      <c r="M26" s="29">
        <f>SUM(M19:M25)</f>
        <v/>
      </c>
      <c r="N26" s="29">
        <f>SUM(N19:N25)</f>
        <v/>
      </c>
      <c r="O26" s="29">
        <f>SUM(O19:O25)</f>
        <v/>
      </c>
      <c r="P26" s="63">
        <f>SUM(P19:P25)</f>
        <v/>
      </c>
    </row>
    <row r="27">
      <c r="A27" s="13" t="inlineStr">
        <is>
          <t>FOI provincial monthly (observed, reference)</t>
        </is>
      </c>
      <c r="C27" s="7">
        <f>Seasonal_Profile!B5</f>
        <v/>
      </c>
      <c r="D27" s="7">
        <f>Seasonal_Profile!C5</f>
        <v/>
      </c>
      <c r="E27" s="7">
        <f>Seasonal_Profile!D5</f>
        <v/>
      </c>
      <c r="F27" s="7">
        <f>Seasonal_Profile!E5</f>
        <v/>
      </c>
      <c r="G27" s="7">
        <f>Seasonal_Profile!F5</f>
        <v/>
      </c>
      <c r="H27" s="7">
        <f>Seasonal_Profile!G5</f>
        <v/>
      </c>
      <c r="I27" s="7">
        <f>Seasonal_Profile!H5</f>
        <v/>
      </c>
      <c r="J27" s="7">
        <f>Seasonal_Profile!I5</f>
        <v/>
      </c>
      <c r="K27" s="7">
        <f>Seasonal_Profile!J5</f>
        <v/>
      </c>
      <c r="L27" s="7">
        <f>Seasonal_Profile!K5</f>
        <v/>
      </c>
      <c r="M27" s="7">
        <f>Seasonal_Profile!L5</f>
        <v/>
      </c>
      <c r="N27" s="7">
        <f>Seasonal_Profile!M5</f>
        <v/>
      </c>
      <c r="O27" s="32">
        <f>SUM(C27:N27)</f>
        <v/>
      </c>
    </row>
    <row r="30">
      <c r="A30" s="23" t="inlineStr">
        <is>
          <t>San Fabian hybrid series 2023–2026 (equation 4: hybrid annual × share; observed profile 2024–25, pooled profile for 2023 and 2026)</t>
        </is>
      </c>
    </row>
    <row r="31" ht="42" customHeight="1">
      <c r="A31" s="33" t="inlineStr">
        <is>
          <t>Municipality / year</t>
        </is>
      </c>
      <c r="B31" s="33" t="inlineStr">
        <is>
          <t>Basis</t>
        </is>
      </c>
      <c r="C31" s="33" t="inlineStr">
        <is>
          <t>Jan</t>
        </is>
      </c>
      <c r="D31" s="33" t="inlineStr">
        <is>
          <t>Feb</t>
        </is>
      </c>
      <c r="E31" s="33" t="inlineStr">
        <is>
          <t>Mar</t>
        </is>
      </c>
      <c r="F31" s="33" t="inlineStr">
        <is>
          <t>Apr</t>
        </is>
      </c>
      <c r="G31" s="33" t="inlineStr">
        <is>
          <t>May</t>
        </is>
      </c>
      <c r="H31" s="33" t="inlineStr">
        <is>
          <t>Jun</t>
        </is>
      </c>
      <c r="I31" s="33" t="inlineStr">
        <is>
          <t>Jul</t>
        </is>
      </c>
      <c r="J31" s="33" t="inlineStr">
        <is>
          <t>Aug</t>
        </is>
      </c>
      <c r="K31" s="33" t="inlineStr">
        <is>
          <t>Sep</t>
        </is>
      </c>
      <c r="L31" s="33" t="inlineStr">
        <is>
          <t>Oct</t>
        </is>
      </c>
      <c r="M31" s="33" t="inlineStr">
        <is>
          <t>Nov</t>
        </is>
      </c>
      <c r="N31" s="33" t="inlineStr">
        <is>
          <t>Dec</t>
        </is>
      </c>
      <c r="O31" s="33" t="inlineStr">
        <is>
          <t>Total (kg)</t>
        </is>
      </c>
      <c r="P31" s="33" t="inlineStr">
        <is>
          <t>Total (MT)</t>
        </is>
      </c>
    </row>
    <row r="32">
      <c r="A32" s="18" t="inlineStr">
        <is>
          <t>San Fabian 2023</t>
        </is>
      </c>
      <c r="B32" s="11">
        <f>Annual_Production!E37</f>
        <v/>
      </c>
      <c r="C32" s="16">
        <f>Annual_Production!$D37*IF(Assumptions!$B$5=3,Seasonal_Profile!B$11,IF(Assumptions!$C$19=1,Assumptions!D$19/SUM(Assumptions!$D$19:$O$19),Seasonal_Profile!B$10))</f>
        <v/>
      </c>
      <c r="D32" s="16">
        <f>Annual_Production!$D37*IF(Assumptions!$B$5=3,Seasonal_Profile!C$11,IF(Assumptions!$C$19=1,Assumptions!E$19/SUM(Assumptions!$D$19:$O$19),Seasonal_Profile!C$10))</f>
        <v/>
      </c>
      <c r="E32" s="16">
        <f>Annual_Production!$D37*IF(Assumptions!$B$5=3,Seasonal_Profile!D$11,IF(Assumptions!$C$19=1,Assumptions!F$19/SUM(Assumptions!$D$19:$O$19),Seasonal_Profile!D$10))</f>
        <v/>
      </c>
      <c r="F32" s="16">
        <f>Annual_Production!$D37*IF(Assumptions!$B$5=3,Seasonal_Profile!E$11,IF(Assumptions!$C$19=1,Assumptions!G$19/SUM(Assumptions!$D$19:$O$19),Seasonal_Profile!E$10))</f>
        <v/>
      </c>
      <c r="G32" s="16">
        <f>Annual_Production!$D37*IF(Assumptions!$B$5=3,Seasonal_Profile!F$11,IF(Assumptions!$C$19=1,Assumptions!H$19/SUM(Assumptions!$D$19:$O$19),Seasonal_Profile!F$10))</f>
        <v/>
      </c>
      <c r="H32" s="16">
        <f>Annual_Production!$D37*IF(Assumptions!$B$5=3,Seasonal_Profile!G$11,IF(Assumptions!$C$19=1,Assumptions!I$19/SUM(Assumptions!$D$19:$O$19),Seasonal_Profile!G$10))</f>
        <v/>
      </c>
      <c r="I32" s="16">
        <f>Annual_Production!$D37*IF(Assumptions!$B$5=3,Seasonal_Profile!H$11,IF(Assumptions!$C$19=1,Assumptions!J$19/SUM(Assumptions!$D$19:$O$19),Seasonal_Profile!H$10))</f>
        <v/>
      </c>
      <c r="J32" s="16">
        <f>Annual_Production!$D37*IF(Assumptions!$B$5=3,Seasonal_Profile!I$11,IF(Assumptions!$C$19=1,Assumptions!K$19/SUM(Assumptions!$D$19:$O$19),Seasonal_Profile!I$10))</f>
        <v/>
      </c>
      <c r="K32" s="16">
        <f>Annual_Production!$D37*IF(Assumptions!$B$5=3,Seasonal_Profile!J$11,IF(Assumptions!$C$19=1,Assumptions!L$19/SUM(Assumptions!$D$19:$O$19),Seasonal_Profile!J$10))</f>
        <v/>
      </c>
      <c r="L32" s="16">
        <f>Annual_Production!$D37*IF(Assumptions!$B$5=3,Seasonal_Profile!K$11,IF(Assumptions!$C$19=1,Assumptions!M$19/SUM(Assumptions!$D$19:$O$19),Seasonal_Profile!K$10))</f>
        <v/>
      </c>
      <c r="M32" s="16">
        <f>Annual_Production!$D37*IF(Assumptions!$B$5=3,Seasonal_Profile!L$11,IF(Assumptions!$C$19=1,Assumptions!N$19/SUM(Assumptions!$D$19:$O$19),Seasonal_Profile!L$10))</f>
        <v/>
      </c>
      <c r="N32" s="16">
        <f>Annual_Production!$D37*IF(Assumptions!$B$5=3,Seasonal_Profile!M$11,IF(Assumptions!$C$19=1,Assumptions!O$19/SUM(Assumptions!$D$19:$O$19),Seasonal_Profile!M$10))</f>
        <v/>
      </c>
      <c r="O32" s="29">
        <f>SUM(C32:N32)</f>
        <v/>
      </c>
      <c r="P32" s="62">
        <f>O32/1000</f>
        <v/>
      </c>
    </row>
    <row r="33">
      <c r="A33" s="18" t="inlineStr">
        <is>
          <t>San Fabian 2024</t>
        </is>
      </c>
      <c r="B33" s="11">
        <f>Annual_Production!E38</f>
        <v/>
      </c>
      <c r="C33" s="7">
        <f>C11</f>
        <v/>
      </c>
      <c r="D33" s="7">
        <f>D11</f>
        <v/>
      </c>
      <c r="E33" s="7">
        <f>E11</f>
        <v/>
      </c>
      <c r="F33" s="7">
        <f>F11</f>
        <v/>
      </c>
      <c r="G33" s="7">
        <f>G11</f>
        <v/>
      </c>
      <c r="H33" s="7">
        <f>H11</f>
        <v/>
      </c>
      <c r="I33" s="7">
        <f>I11</f>
        <v/>
      </c>
      <c r="J33" s="7">
        <f>J11</f>
        <v/>
      </c>
      <c r="K33" s="7">
        <f>K11</f>
        <v/>
      </c>
      <c r="L33" s="7">
        <f>L11</f>
        <v/>
      </c>
      <c r="M33" s="7">
        <f>M11</f>
        <v/>
      </c>
      <c r="N33" s="7">
        <f>N11</f>
        <v/>
      </c>
      <c r="O33" s="29">
        <f>SUM(C33:N33)</f>
        <v/>
      </c>
      <c r="P33" s="62">
        <f>O33/1000</f>
        <v/>
      </c>
    </row>
    <row r="34">
      <c r="A34" s="18" t="inlineStr">
        <is>
          <t>San Fabian 2025</t>
        </is>
      </c>
      <c r="B34" s="11">
        <f>Annual_Production!E39</f>
        <v/>
      </c>
      <c r="C34" s="7">
        <f>C25</f>
        <v/>
      </c>
      <c r="D34" s="7">
        <f>D25</f>
        <v/>
      </c>
      <c r="E34" s="7">
        <f>E25</f>
        <v/>
      </c>
      <c r="F34" s="7">
        <f>F25</f>
        <v/>
      </c>
      <c r="G34" s="7">
        <f>G25</f>
        <v/>
      </c>
      <c r="H34" s="7">
        <f>H25</f>
        <v/>
      </c>
      <c r="I34" s="7">
        <f>I25</f>
        <v/>
      </c>
      <c r="J34" s="7">
        <f>J25</f>
        <v/>
      </c>
      <c r="K34" s="7">
        <f>K25</f>
        <v/>
      </c>
      <c r="L34" s="7">
        <f>L25</f>
        <v/>
      </c>
      <c r="M34" s="7">
        <f>M25</f>
        <v/>
      </c>
      <c r="N34" s="7">
        <f>N25</f>
        <v/>
      </c>
      <c r="O34" s="29">
        <f>SUM(C34:N34)</f>
        <v/>
      </c>
      <c r="P34" s="62">
        <f>O34/1000</f>
        <v/>
      </c>
    </row>
    <row r="35">
      <c r="A35" s="18" t="inlineStr">
        <is>
          <t>San Fabian 2026</t>
        </is>
      </c>
      <c r="B35" s="11">
        <f>Annual_Production!E40</f>
        <v/>
      </c>
      <c r="C35" s="16">
        <f>Annual_Production!$D40*IF(Assumptions!$B$5=3,Seasonal_Profile!B$11,IF(Assumptions!$C$19=1,Assumptions!D$19/SUM(Assumptions!$D$19:$O$19),Seasonal_Profile!B$10))</f>
        <v/>
      </c>
      <c r="D35" s="16">
        <f>Annual_Production!$D40*IF(Assumptions!$B$5=3,Seasonal_Profile!C$11,IF(Assumptions!$C$19=1,Assumptions!E$19/SUM(Assumptions!$D$19:$O$19),Seasonal_Profile!C$10))</f>
        <v/>
      </c>
      <c r="E35" s="16">
        <f>Annual_Production!$D40*IF(Assumptions!$B$5=3,Seasonal_Profile!D$11,IF(Assumptions!$C$19=1,Assumptions!F$19/SUM(Assumptions!$D$19:$O$19),Seasonal_Profile!D$10))</f>
        <v/>
      </c>
      <c r="F35" s="16">
        <f>Annual_Production!$D40*IF(Assumptions!$B$5=3,Seasonal_Profile!E$11,IF(Assumptions!$C$19=1,Assumptions!G$19/SUM(Assumptions!$D$19:$O$19),Seasonal_Profile!E$10))</f>
        <v/>
      </c>
      <c r="G35" s="16">
        <f>Annual_Production!$D40*IF(Assumptions!$B$5=3,Seasonal_Profile!F$11,IF(Assumptions!$C$19=1,Assumptions!H$19/SUM(Assumptions!$D$19:$O$19),Seasonal_Profile!F$10))</f>
        <v/>
      </c>
      <c r="H35" s="16">
        <f>Annual_Production!$D40*IF(Assumptions!$B$5=3,Seasonal_Profile!G$11,IF(Assumptions!$C$19=1,Assumptions!I$19/SUM(Assumptions!$D$19:$O$19),Seasonal_Profile!G$10))</f>
        <v/>
      </c>
      <c r="I35" s="16">
        <f>Annual_Production!$D40*IF(Assumptions!$B$5=3,Seasonal_Profile!H$11,IF(Assumptions!$C$19=1,Assumptions!J$19/SUM(Assumptions!$D$19:$O$19),Seasonal_Profile!H$10))</f>
        <v/>
      </c>
      <c r="J35" s="16">
        <f>Annual_Production!$D40*IF(Assumptions!$B$5=3,Seasonal_Profile!I$11,IF(Assumptions!$C$19=1,Assumptions!K$19/SUM(Assumptions!$D$19:$O$19),Seasonal_Profile!I$10))</f>
        <v/>
      </c>
      <c r="K35" s="16">
        <f>Annual_Production!$D40*IF(Assumptions!$B$5=3,Seasonal_Profile!J$11,IF(Assumptions!$C$19=1,Assumptions!L$19/SUM(Assumptions!$D$19:$O$19),Seasonal_Profile!J$10))</f>
        <v/>
      </c>
      <c r="L35" s="16">
        <f>Annual_Production!$D40*IF(Assumptions!$B$5=3,Seasonal_Profile!K$11,IF(Assumptions!$C$19=1,Assumptions!M$19/SUM(Assumptions!$D$19:$O$19),Seasonal_Profile!K$10))</f>
        <v/>
      </c>
      <c r="M35" s="16">
        <f>Annual_Production!$D40*IF(Assumptions!$B$5=3,Seasonal_Profile!L$11,IF(Assumptions!$C$19=1,Assumptions!N$19/SUM(Assumptions!$D$19:$O$19),Seasonal_Profile!L$10))</f>
        <v/>
      </c>
      <c r="N35" s="16">
        <f>Annual_Production!$D40*IF(Assumptions!$B$5=3,Seasonal_Profile!M$11,IF(Assumptions!$C$19=1,Assumptions!O$19/SUM(Assumptions!$D$19:$O$19),Seasonal_Profile!M$10))</f>
        <v/>
      </c>
      <c r="O35" s="29">
        <f>SUM(C35:N35)</f>
        <v/>
      </c>
      <c r="P35" s="62">
        <f>O35/1000</f>
        <v/>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195"/>
  <sheetViews>
    <sheetView showGridLines="0" workbookViewId="0">
      <pane ySplit="3" topLeftCell="A4" activePane="bottomLeft" state="frozen"/>
      <selection activeCell="A1" sqref="A1"/>
      <selection pane="bottomLeft" activeCell="A3" sqref="A3:I3"/>
    </sheetView>
  </sheetViews>
  <sheetFormatPr baseColWidth="8" defaultColWidth="8.675925925925929" defaultRowHeight="14.4"/>
  <cols>
    <col width="16" customWidth="1" min="1" max="1"/>
    <col width="8" customWidth="1" min="2" max="2"/>
    <col width="10" customWidth="1" min="3" max="3"/>
    <col width="8" customWidth="1" min="4" max="4"/>
    <col width="20" customWidth="1" min="5" max="6"/>
    <col width="18" customWidth="1" min="7" max="7"/>
    <col width="36" customWidth="1" min="8" max="8"/>
    <col width="42" customWidth="1" min="9" max="9"/>
  </cols>
  <sheetData>
    <row r="1" ht="17.4" customHeight="1">
      <c r="A1" s="1" t="inlineStr">
        <is>
          <t>Monthly estimates – long format (database-ready)</t>
        </is>
      </c>
    </row>
    <row r="2">
      <c r="A2" s="2" t="inlineStr">
        <is>
          <t>One row per municipality × year × month. Values link to Monthly_Estimates.</t>
        </is>
      </c>
    </row>
    <row r="3" ht="42" customHeight="1">
      <c r="A3" s="5" t="inlineStr">
        <is>
          <t>Municipality</t>
        </is>
      </c>
      <c r="B3" s="5" t="inlineStr">
        <is>
          <t>Year</t>
        </is>
      </c>
      <c r="C3" s="5" t="inlineStr">
        <is>
          <t>Month no.</t>
        </is>
      </c>
      <c r="D3" s="5" t="inlineStr">
        <is>
          <t>Month</t>
        </is>
      </c>
      <c r="E3" s="5" t="inlineStr">
        <is>
          <t>Estimated production (kg)</t>
        </is>
      </c>
      <c r="F3" s="5" t="inlineStr">
        <is>
          <t>Estimated production (MT)</t>
        </is>
      </c>
      <c r="G3" s="5" t="inlineStr">
        <is>
          <t>Annual source</t>
        </is>
      </c>
      <c r="H3" s="5" t="inlineStr">
        <is>
          <t>Method</t>
        </is>
      </c>
      <c r="I3" s="5" t="inlineStr">
        <is>
          <t>Confidence tier</t>
        </is>
      </c>
    </row>
    <row r="4">
      <c r="A4" s="6" t="inlineStr">
        <is>
          <t>Alaminos City</t>
        </is>
      </c>
      <c r="B4" s="6" t="n">
        <v>2024</v>
      </c>
      <c r="C4" s="6" t="n">
        <v>1</v>
      </c>
      <c r="D4" s="6" t="inlineStr">
        <is>
          <t>Jan</t>
        </is>
      </c>
      <c r="E4" s="7">
        <f>Monthly_Estimates!C5</f>
        <v/>
      </c>
      <c r="F4" s="24">
        <f>E4/1000</f>
        <v/>
      </c>
      <c r="G4" s="11">
        <f>Monthly_Estimates!B5</f>
        <v/>
      </c>
      <c r="H4" s="6">
        <f>CHOOSE(Assumptions!$B$5,"Observed provincial profile + windows","Pooled profile + windows","Linear arithmetic")</f>
        <v/>
      </c>
      <c r="I4" s="6" t="inlineStr">
        <is>
          <t>Medium–High (primary rate within 3% of FOI) (2024: FOI coverage limited)</t>
        </is>
      </c>
    </row>
    <row r="5">
      <c r="A5" s="6" t="inlineStr">
        <is>
          <t>Alaminos City</t>
        </is>
      </c>
      <c r="B5" s="6" t="n">
        <v>2024</v>
      </c>
      <c r="C5" s="6" t="n">
        <v>2</v>
      </c>
      <c r="D5" s="6" t="inlineStr">
        <is>
          <t>Feb</t>
        </is>
      </c>
      <c r="E5" s="7">
        <f>Monthly_Estimates!D5</f>
        <v/>
      </c>
      <c r="F5" s="24">
        <f>E5/1000</f>
        <v/>
      </c>
      <c r="G5" s="11">
        <f>Monthly_Estimates!B5</f>
        <v/>
      </c>
      <c r="H5" s="6">
        <f>CHOOSE(Assumptions!$B$5,"Observed provincial profile + windows","Pooled profile + windows","Linear arithmetic")</f>
        <v/>
      </c>
      <c r="I5" s="6" t="inlineStr">
        <is>
          <t>Medium–High (primary rate within 3% of FOI) (2024: FOI coverage limited)</t>
        </is>
      </c>
    </row>
    <row r="6">
      <c r="A6" s="6" t="inlineStr">
        <is>
          <t>Alaminos City</t>
        </is>
      </c>
      <c r="B6" s="6" t="n">
        <v>2024</v>
      </c>
      <c r="C6" s="6" t="n">
        <v>3</v>
      </c>
      <c r="D6" s="6" t="inlineStr">
        <is>
          <t>Mar</t>
        </is>
      </c>
      <c r="E6" s="7">
        <f>Monthly_Estimates!E5</f>
        <v/>
      </c>
      <c r="F6" s="24">
        <f>E6/1000</f>
        <v/>
      </c>
      <c r="G6" s="11">
        <f>Monthly_Estimates!B5</f>
        <v/>
      </c>
      <c r="H6" s="6">
        <f>CHOOSE(Assumptions!$B$5,"Observed provincial profile + windows","Pooled profile + windows","Linear arithmetic")</f>
        <v/>
      </c>
      <c r="I6" s="6" t="inlineStr">
        <is>
          <t>Medium–High (primary rate within 3% of FOI) (2024: FOI coverage limited)</t>
        </is>
      </c>
    </row>
    <row r="7">
      <c r="A7" s="6" t="inlineStr">
        <is>
          <t>Alaminos City</t>
        </is>
      </c>
      <c r="B7" s="6" t="n">
        <v>2024</v>
      </c>
      <c r="C7" s="6" t="n">
        <v>4</v>
      </c>
      <c r="D7" s="6" t="inlineStr">
        <is>
          <t>Apr</t>
        </is>
      </c>
      <c r="E7" s="7">
        <f>Monthly_Estimates!F5</f>
        <v/>
      </c>
      <c r="F7" s="24">
        <f>E7/1000</f>
        <v/>
      </c>
      <c r="G7" s="11">
        <f>Monthly_Estimates!B5</f>
        <v/>
      </c>
      <c r="H7" s="6">
        <f>CHOOSE(Assumptions!$B$5,"Observed provincial profile + windows","Pooled profile + windows","Linear arithmetic")</f>
        <v/>
      </c>
      <c r="I7" s="6" t="inlineStr">
        <is>
          <t>Medium–High (primary rate within 3% of FOI) (2024: FOI coverage limited)</t>
        </is>
      </c>
    </row>
    <row r="8">
      <c r="A8" s="6" t="inlineStr">
        <is>
          <t>Alaminos City</t>
        </is>
      </c>
      <c r="B8" s="6" t="n">
        <v>2024</v>
      </c>
      <c r="C8" s="6" t="n">
        <v>5</v>
      </c>
      <c r="D8" s="6" t="inlineStr">
        <is>
          <t>May</t>
        </is>
      </c>
      <c r="E8" s="7">
        <f>Monthly_Estimates!G5</f>
        <v/>
      </c>
      <c r="F8" s="24">
        <f>E8/1000</f>
        <v/>
      </c>
      <c r="G8" s="11">
        <f>Monthly_Estimates!B5</f>
        <v/>
      </c>
      <c r="H8" s="6">
        <f>CHOOSE(Assumptions!$B$5,"Observed provincial profile + windows","Pooled profile + windows","Linear arithmetic")</f>
        <v/>
      </c>
      <c r="I8" s="6" t="inlineStr">
        <is>
          <t>Medium–High (primary rate within 3% of FOI) (2024: FOI coverage limited)</t>
        </is>
      </c>
    </row>
    <row r="9">
      <c r="A9" s="6" t="inlineStr">
        <is>
          <t>Alaminos City</t>
        </is>
      </c>
      <c r="B9" s="6" t="n">
        <v>2024</v>
      </c>
      <c r="C9" s="6" t="n">
        <v>6</v>
      </c>
      <c r="D9" s="6" t="inlineStr">
        <is>
          <t>Jun</t>
        </is>
      </c>
      <c r="E9" s="7">
        <f>Monthly_Estimates!H5</f>
        <v/>
      </c>
      <c r="F9" s="24">
        <f>E9/1000</f>
        <v/>
      </c>
      <c r="G9" s="11">
        <f>Monthly_Estimates!B5</f>
        <v/>
      </c>
      <c r="H9" s="6">
        <f>CHOOSE(Assumptions!$B$5,"Observed provincial profile + windows","Pooled profile + windows","Linear arithmetic")</f>
        <v/>
      </c>
      <c r="I9" s="6" t="inlineStr">
        <is>
          <t>Medium–High (primary rate within 3% of FOI) (2024: FOI coverage limited)</t>
        </is>
      </c>
    </row>
    <row r="10">
      <c r="A10" s="6" t="inlineStr">
        <is>
          <t>Alaminos City</t>
        </is>
      </c>
      <c r="B10" s="6" t="n">
        <v>2024</v>
      </c>
      <c r="C10" s="6" t="n">
        <v>7</v>
      </c>
      <c r="D10" s="6" t="inlineStr">
        <is>
          <t>Jul</t>
        </is>
      </c>
      <c r="E10" s="7">
        <f>Monthly_Estimates!I5</f>
        <v/>
      </c>
      <c r="F10" s="24">
        <f>E10/1000</f>
        <v/>
      </c>
      <c r="G10" s="11">
        <f>Monthly_Estimates!B5</f>
        <v/>
      </c>
      <c r="H10" s="6">
        <f>CHOOSE(Assumptions!$B$5,"Observed provincial profile + windows","Pooled profile + windows","Linear arithmetic")</f>
        <v/>
      </c>
      <c r="I10" s="6" t="inlineStr">
        <is>
          <t>Medium–High (primary rate within 3% of FOI) (2024: FOI coverage limited)</t>
        </is>
      </c>
    </row>
    <row r="11">
      <c r="A11" s="6" t="inlineStr">
        <is>
          <t>Alaminos City</t>
        </is>
      </c>
      <c r="B11" s="6" t="n">
        <v>2024</v>
      </c>
      <c r="C11" s="6" t="n">
        <v>8</v>
      </c>
      <c r="D11" s="6" t="inlineStr">
        <is>
          <t>Aug</t>
        </is>
      </c>
      <c r="E11" s="7">
        <f>Monthly_Estimates!J5</f>
        <v/>
      </c>
      <c r="F11" s="24">
        <f>E11/1000</f>
        <v/>
      </c>
      <c r="G11" s="11">
        <f>Monthly_Estimates!B5</f>
        <v/>
      </c>
      <c r="H11" s="6">
        <f>CHOOSE(Assumptions!$B$5,"Observed provincial profile + windows","Pooled profile + windows","Linear arithmetic")</f>
        <v/>
      </c>
      <c r="I11" s="6" t="inlineStr">
        <is>
          <t>Medium–High (primary rate within 3% of FOI) (2024: FOI coverage limited)</t>
        </is>
      </c>
    </row>
    <row r="12">
      <c r="A12" s="6" t="inlineStr">
        <is>
          <t>Alaminos City</t>
        </is>
      </c>
      <c r="B12" s="6" t="n">
        <v>2024</v>
      </c>
      <c r="C12" s="6" t="n">
        <v>9</v>
      </c>
      <c r="D12" s="6" t="inlineStr">
        <is>
          <t>Sep</t>
        </is>
      </c>
      <c r="E12" s="7">
        <f>Monthly_Estimates!K5</f>
        <v/>
      </c>
      <c r="F12" s="24">
        <f>E12/1000</f>
        <v/>
      </c>
      <c r="G12" s="11">
        <f>Monthly_Estimates!B5</f>
        <v/>
      </c>
      <c r="H12" s="6">
        <f>CHOOSE(Assumptions!$B$5,"Observed provincial profile + windows","Pooled profile + windows","Linear arithmetic")</f>
        <v/>
      </c>
      <c r="I12" s="6" t="inlineStr">
        <is>
          <t>Medium–High (primary rate within 3% of FOI) (2024: FOI coverage limited)</t>
        </is>
      </c>
    </row>
    <row r="13">
      <c r="A13" s="6" t="inlineStr">
        <is>
          <t>Alaminos City</t>
        </is>
      </c>
      <c r="B13" s="6" t="n">
        <v>2024</v>
      </c>
      <c r="C13" s="6" t="n">
        <v>10</v>
      </c>
      <c r="D13" s="6" t="inlineStr">
        <is>
          <t>Oct</t>
        </is>
      </c>
      <c r="E13" s="7">
        <f>Monthly_Estimates!L5</f>
        <v/>
      </c>
      <c r="F13" s="24">
        <f>E13/1000</f>
        <v/>
      </c>
      <c r="G13" s="11">
        <f>Monthly_Estimates!B5</f>
        <v/>
      </c>
      <c r="H13" s="6">
        <f>CHOOSE(Assumptions!$B$5,"Observed provincial profile + windows","Pooled profile + windows","Linear arithmetic")</f>
        <v/>
      </c>
      <c r="I13" s="6" t="inlineStr">
        <is>
          <t>Medium–High (primary rate within 3% of FOI) (2024: FOI coverage limited)</t>
        </is>
      </c>
    </row>
    <row r="14">
      <c r="A14" s="6" t="inlineStr">
        <is>
          <t>Alaminos City</t>
        </is>
      </c>
      <c r="B14" s="6" t="n">
        <v>2024</v>
      </c>
      <c r="C14" s="6" t="n">
        <v>11</v>
      </c>
      <c r="D14" s="6" t="inlineStr">
        <is>
          <t>Nov</t>
        </is>
      </c>
      <c r="E14" s="7">
        <f>Monthly_Estimates!M5</f>
        <v/>
      </c>
      <c r="F14" s="24">
        <f>E14/1000</f>
        <v/>
      </c>
      <c r="G14" s="11">
        <f>Monthly_Estimates!B5</f>
        <v/>
      </c>
      <c r="H14" s="6">
        <f>CHOOSE(Assumptions!$B$5,"Observed provincial profile + windows","Pooled profile + windows","Linear arithmetic")</f>
        <v/>
      </c>
      <c r="I14" s="6" t="inlineStr">
        <is>
          <t>Medium–High (primary rate within 3% of FOI) (2024: FOI coverage limited)</t>
        </is>
      </c>
    </row>
    <row r="15">
      <c r="A15" s="6" t="inlineStr">
        <is>
          <t>Alaminos City</t>
        </is>
      </c>
      <c r="B15" s="6" t="n">
        <v>2024</v>
      </c>
      <c r="C15" s="6" t="n">
        <v>12</v>
      </c>
      <c r="D15" s="6" t="inlineStr">
        <is>
          <t>Dec</t>
        </is>
      </c>
      <c r="E15" s="7">
        <f>Monthly_Estimates!N5</f>
        <v/>
      </c>
      <c r="F15" s="24">
        <f>E15/1000</f>
        <v/>
      </c>
      <c r="G15" s="11">
        <f>Monthly_Estimates!B5</f>
        <v/>
      </c>
      <c r="H15" s="6">
        <f>CHOOSE(Assumptions!$B$5,"Observed provincial profile + windows","Pooled profile + windows","Linear arithmetic")</f>
        <v/>
      </c>
      <c r="I15" s="6" t="inlineStr">
        <is>
          <t>Medium–High (primary rate within 3% of FOI) (2024: FOI coverage limited)</t>
        </is>
      </c>
    </row>
    <row r="16">
      <c r="A16" s="6" t="inlineStr">
        <is>
          <t>Anda</t>
        </is>
      </c>
      <c r="B16" s="6" t="n">
        <v>2024</v>
      </c>
      <c r="C16" s="6" t="n">
        <v>1</v>
      </c>
      <c r="D16" s="6" t="inlineStr">
        <is>
          <t>Jan</t>
        </is>
      </c>
      <c r="E16" s="7">
        <f>Monthly_Estimates!C6</f>
        <v/>
      </c>
      <c r="F16" s="24">
        <f>E16/1000</f>
        <v/>
      </c>
      <c r="G16" s="11">
        <f>Monthly_Estimates!B6</f>
        <v/>
      </c>
      <c r="H16" s="6">
        <f>CHOOSE(Assumptions!$B$5,"Observed provincial profile + windows","Pooled profile + windows","Linear arithmetic")</f>
        <v/>
      </c>
      <c r="I16" s="6" t="inlineStr">
        <is>
          <t>Low–Medium (2024: FOI coverage limited)</t>
        </is>
      </c>
    </row>
    <row r="17">
      <c r="A17" s="6" t="inlineStr">
        <is>
          <t>Anda</t>
        </is>
      </c>
      <c r="B17" s="6" t="n">
        <v>2024</v>
      </c>
      <c r="C17" s="6" t="n">
        <v>2</v>
      </c>
      <c r="D17" s="6" t="inlineStr">
        <is>
          <t>Feb</t>
        </is>
      </c>
      <c r="E17" s="7">
        <f>Monthly_Estimates!D6</f>
        <v/>
      </c>
      <c r="F17" s="24">
        <f>E17/1000</f>
        <v/>
      </c>
      <c r="G17" s="11">
        <f>Monthly_Estimates!B6</f>
        <v/>
      </c>
      <c r="H17" s="6">
        <f>CHOOSE(Assumptions!$B$5,"Observed provincial profile + windows","Pooled profile + windows","Linear arithmetic")</f>
        <v/>
      </c>
      <c r="I17" s="6" t="inlineStr">
        <is>
          <t>Low–Medium (2024: FOI coverage limited)</t>
        </is>
      </c>
    </row>
    <row r="18">
      <c r="A18" s="6" t="inlineStr">
        <is>
          <t>Anda</t>
        </is>
      </c>
      <c r="B18" s="6" t="n">
        <v>2024</v>
      </c>
      <c r="C18" s="6" t="n">
        <v>3</v>
      </c>
      <c r="D18" s="6" t="inlineStr">
        <is>
          <t>Mar</t>
        </is>
      </c>
      <c r="E18" s="7">
        <f>Monthly_Estimates!E6</f>
        <v/>
      </c>
      <c r="F18" s="24">
        <f>E18/1000</f>
        <v/>
      </c>
      <c r="G18" s="11">
        <f>Monthly_Estimates!B6</f>
        <v/>
      </c>
      <c r="H18" s="6">
        <f>CHOOSE(Assumptions!$B$5,"Observed provincial profile + windows","Pooled profile + windows","Linear arithmetic")</f>
        <v/>
      </c>
      <c r="I18" s="6" t="inlineStr">
        <is>
          <t>Low–Medium (2024: FOI coverage limited)</t>
        </is>
      </c>
    </row>
    <row r="19">
      <c r="A19" s="6" t="inlineStr">
        <is>
          <t>Anda</t>
        </is>
      </c>
      <c r="B19" s="6" t="n">
        <v>2024</v>
      </c>
      <c r="C19" s="6" t="n">
        <v>4</v>
      </c>
      <c r="D19" s="6" t="inlineStr">
        <is>
          <t>Apr</t>
        </is>
      </c>
      <c r="E19" s="7">
        <f>Monthly_Estimates!F6</f>
        <v/>
      </c>
      <c r="F19" s="24">
        <f>E19/1000</f>
        <v/>
      </c>
      <c r="G19" s="11">
        <f>Monthly_Estimates!B6</f>
        <v/>
      </c>
      <c r="H19" s="6">
        <f>CHOOSE(Assumptions!$B$5,"Observed provincial profile + windows","Pooled profile + windows","Linear arithmetic")</f>
        <v/>
      </c>
      <c r="I19" s="6" t="inlineStr">
        <is>
          <t>Low–Medium (2024: FOI coverage limited)</t>
        </is>
      </c>
    </row>
    <row r="20">
      <c r="A20" s="6" t="inlineStr">
        <is>
          <t>Anda</t>
        </is>
      </c>
      <c r="B20" s="6" t="n">
        <v>2024</v>
      </c>
      <c r="C20" s="6" t="n">
        <v>5</v>
      </c>
      <c r="D20" s="6" t="inlineStr">
        <is>
          <t>May</t>
        </is>
      </c>
      <c r="E20" s="7">
        <f>Monthly_Estimates!G6</f>
        <v/>
      </c>
      <c r="F20" s="24">
        <f>E20/1000</f>
        <v/>
      </c>
      <c r="G20" s="11">
        <f>Monthly_Estimates!B6</f>
        <v/>
      </c>
      <c r="H20" s="6">
        <f>CHOOSE(Assumptions!$B$5,"Observed provincial profile + windows","Pooled profile + windows","Linear arithmetic")</f>
        <v/>
      </c>
      <c r="I20" s="6" t="inlineStr">
        <is>
          <t>Low–Medium (2024: FOI coverage limited)</t>
        </is>
      </c>
    </row>
    <row r="21">
      <c r="A21" s="6" t="inlineStr">
        <is>
          <t>Anda</t>
        </is>
      </c>
      <c r="B21" s="6" t="n">
        <v>2024</v>
      </c>
      <c r="C21" s="6" t="n">
        <v>6</v>
      </c>
      <c r="D21" s="6" t="inlineStr">
        <is>
          <t>Jun</t>
        </is>
      </c>
      <c r="E21" s="7">
        <f>Monthly_Estimates!H6</f>
        <v/>
      </c>
      <c r="F21" s="24">
        <f>E21/1000</f>
        <v/>
      </c>
      <c r="G21" s="11">
        <f>Monthly_Estimates!B6</f>
        <v/>
      </c>
      <c r="H21" s="6">
        <f>CHOOSE(Assumptions!$B$5,"Observed provincial profile + windows","Pooled profile + windows","Linear arithmetic")</f>
        <v/>
      </c>
      <c r="I21" s="6" t="inlineStr">
        <is>
          <t>Low–Medium (2024: FOI coverage limited)</t>
        </is>
      </c>
    </row>
    <row r="22">
      <c r="A22" s="6" t="inlineStr">
        <is>
          <t>Anda</t>
        </is>
      </c>
      <c r="B22" s="6" t="n">
        <v>2024</v>
      </c>
      <c r="C22" s="6" t="n">
        <v>7</v>
      </c>
      <c r="D22" s="6" t="inlineStr">
        <is>
          <t>Jul</t>
        </is>
      </c>
      <c r="E22" s="7">
        <f>Monthly_Estimates!I6</f>
        <v/>
      </c>
      <c r="F22" s="24">
        <f>E22/1000</f>
        <v/>
      </c>
      <c r="G22" s="11">
        <f>Monthly_Estimates!B6</f>
        <v/>
      </c>
      <c r="H22" s="6">
        <f>CHOOSE(Assumptions!$B$5,"Observed provincial profile + windows","Pooled profile + windows","Linear arithmetic")</f>
        <v/>
      </c>
      <c r="I22" s="6" t="inlineStr">
        <is>
          <t>Low–Medium (2024: FOI coverage limited)</t>
        </is>
      </c>
    </row>
    <row r="23">
      <c r="A23" s="6" t="inlineStr">
        <is>
          <t>Anda</t>
        </is>
      </c>
      <c r="B23" s="6" t="n">
        <v>2024</v>
      </c>
      <c r="C23" s="6" t="n">
        <v>8</v>
      </c>
      <c r="D23" s="6" t="inlineStr">
        <is>
          <t>Aug</t>
        </is>
      </c>
      <c r="E23" s="7">
        <f>Monthly_Estimates!J6</f>
        <v/>
      </c>
      <c r="F23" s="24">
        <f>E23/1000</f>
        <v/>
      </c>
      <c r="G23" s="11">
        <f>Monthly_Estimates!B6</f>
        <v/>
      </c>
      <c r="H23" s="6">
        <f>CHOOSE(Assumptions!$B$5,"Observed provincial profile + windows","Pooled profile + windows","Linear arithmetic")</f>
        <v/>
      </c>
      <c r="I23" s="6" t="inlineStr">
        <is>
          <t>Low–Medium (2024: FOI coverage limited)</t>
        </is>
      </c>
    </row>
    <row r="24">
      <c r="A24" s="6" t="inlineStr">
        <is>
          <t>Anda</t>
        </is>
      </c>
      <c r="B24" s="6" t="n">
        <v>2024</v>
      </c>
      <c r="C24" s="6" t="n">
        <v>9</v>
      </c>
      <c r="D24" s="6" t="inlineStr">
        <is>
          <t>Sep</t>
        </is>
      </c>
      <c r="E24" s="7">
        <f>Monthly_Estimates!K6</f>
        <v/>
      </c>
      <c r="F24" s="24">
        <f>E24/1000</f>
        <v/>
      </c>
      <c r="G24" s="11">
        <f>Monthly_Estimates!B6</f>
        <v/>
      </c>
      <c r="H24" s="6">
        <f>CHOOSE(Assumptions!$B$5,"Observed provincial profile + windows","Pooled profile + windows","Linear arithmetic")</f>
        <v/>
      </c>
      <c r="I24" s="6" t="inlineStr">
        <is>
          <t>Low–Medium (2024: FOI coverage limited)</t>
        </is>
      </c>
    </row>
    <row r="25">
      <c r="A25" s="6" t="inlineStr">
        <is>
          <t>Anda</t>
        </is>
      </c>
      <c r="B25" s="6" t="n">
        <v>2024</v>
      </c>
      <c r="C25" s="6" t="n">
        <v>10</v>
      </c>
      <c r="D25" s="6" t="inlineStr">
        <is>
          <t>Oct</t>
        </is>
      </c>
      <c r="E25" s="7">
        <f>Monthly_Estimates!L6</f>
        <v/>
      </c>
      <c r="F25" s="24">
        <f>E25/1000</f>
        <v/>
      </c>
      <c r="G25" s="11">
        <f>Monthly_Estimates!B6</f>
        <v/>
      </c>
      <c r="H25" s="6">
        <f>CHOOSE(Assumptions!$B$5,"Observed provincial profile + windows","Pooled profile + windows","Linear arithmetic")</f>
        <v/>
      </c>
      <c r="I25" s="6" t="inlineStr">
        <is>
          <t>Low–Medium (2024: FOI coverage limited)</t>
        </is>
      </c>
    </row>
    <row r="26">
      <c r="A26" s="6" t="inlineStr">
        <is>
          <t>Anda</t>
        </is>
      </c>
      <c r="B26" s="6" t="n">
        <v>2024</v>
      </c>
      <c r="C26" s="6" t="n">
        <v>11</v>
      </c>
      <c r="D26" s="6" t="inlineStr">
        <is>
          <t>Nov</t>
        </is>
      </c>
      <c r="E26" s="7">
        <f>Monthly_Estimates!M6</f>
        <v/>
      </c>
      <c r="F26" s="24">
        <f>E26/1000</f>
        <v/>
      </c>
      <c r="G26" s="11">
        <f>Monthly_Estimates!B6</f>
        <v/>
      </c>
      <c r="H26" s="6">
        <f>CHOOSE(Assumptions!$B$5,"Observed provincial profile + windows","Pooled profile + windows","Linear arithmetic")</f>
        <v/>
      </c>
      <c r="I26" s="6" t="inlineStr">
        <is>
          <t>Low–Medium (2024: FOI coverage limited)</t>
        </is>
      </c>
    </row>
    <row r="27">
      <c r="A27" s="6" t="inlineStr">
        <is>
          <t>Anda</t>
        </is>
      </c>
      <c r="B27" s="6" t="n">
        <v>2024</v>
      </c>
      <c r="C27" s="6" t="n">
        <v>12</v>
      </c>
      <c r="D27" s="6" t="inlineStr">
        <is>
          <t>Dec</t>
        </is>
      </c>
      <c r="E27" s="7">
        <f>Monthly_Estimates!N6</f>
        <v/>
      </c>
      <c r="F27" s="24">
        <f>E27/1000</f>
        <v/>
      </c>
      <c r="G27" s="11">
        <f>Monthly_Estimates!B6</f>
        <v/>
      </c>
      <c r="H27" s="6">
        <f>CHOOSE(Assumptions!$B$5,"Observed provincial profile + windows","Pooled profile + windows","Linear arithmetic")</f>
        <v/>
      </c>
      <c r="I27" s="6" t="inlineStr">
        <is>
          <t>Low–Medium (2024: FOI coverage limited)</t>
        </is>
      </c>
    </row>
    <row r="28">
      <c r="A28" s="6" t="inlineStr">
        <is>
          <t>Bani</t>
        </is>
      </c>
      <c r="B28" s="6" t="n">
        <v>2024</v>
      </c>
      <c r="C28" s="6" t="n">
        <v>1</v>
      </c>
      <c r="D28" s="6" t="inlineStr">
        <is>
          <t>Jan</t>
        </is>
      </c>
      <c r="E28" s="7">
        <f>Monthly_Estimates!C7</f>
        <v/>
      </c>
      <c r="F28" s="24">
        <f>E28/1000</f>
        <v/>
      </c>
      <c r="G28" s="11">
        <f>Monthly_Estimates!B7</f>
        <v/>
      </c>
      <c r="H28" s="6">
        <f>CHOOSE(Assumptions!$B$5,"Observed provincial profile + windows","Pooled profile + windows","Linear arithmetic")</f>
        <v/>
      </c>
      <c r="I28" s="6" t="inlineStr">
        <is>
          <t>Low–Medium (2024: FOI coverage limited)</t>
        </is>
      </c>
    </row>
    <row r="29">
      <c r="A29" s="6" t="inlineStr">
        <is>
          <t>Bani</t>
        </is>
      </c>
      <c r="B29" s="6" t="n">
        <v>2024</v>
      </c>
      <c r="C29" s="6" t="n">
        <v>2</v>
      </c>
      <c r="D29" s="6" t="inlineStr">
        <is>
          <t>Feb</t>
        </is>
      </c>
      <c r="E29" s="7">
        <f>Monthly_Estimates!D7</f>
        <v/>
      </c>
      <c r="F29" s="24">
        <f>E29/1000</f>
        <v/>
      </c>
      <c r="G29" s="11">
        <f>Monthly_Estimates!B7</f>
        <v/>
      </c>
      <c r="H29" s="6">
        <f>CHOOSE(Assumptions!$B$5,"Observed provincial profile + windows","Pooled profile + windows","Linear arithmetic")</f>
        <v/>
      </c>
      <c r="I29" s="6" t="inlineStr">
        <is>
          <t>Low–Medium (2024: FOI coverage limited)</t>
        </is>
      </c>
    </row>
    <row r="30">
      <c r="A30" s="6" t="inlineStr">
        <is>
          <t>Bani</t>
        </is>
      </c>
      <c r="B30" s="6" t="n">
        <v>2024</v>
      </c>
      <c r="C30" s="6" t="n">
        <v>3</v>
      </c>
      <c r="D30" s="6" t="inlineStr">
        <is>
          <t>Mar</t>
        </is>
      </c>
      <c r="E30" s="7">
        <f>Monthly_Estimates!E7</f>
        <v/>
      </c>
      <c r="F30" s="24">
        <f>E30/1000</f>
        <v/>
      </c>
      <c r="G30" s="11">
        <f>Monthly_Estimates!B7</f>
        <v/>
      </c>
      <c r="H30" s="6">
        <f>CHOOSE(Assumptions!$B$5,"Observed provincial profile + windows","Pooled profile + windows","Linear arithmetic")</f>
        <v/>
      </c>
      <c r="I30" s="6" t="inlineStr">
        <is>
          <t>Low–Medium (2024: FOI coverage limited)</t>
        </is>
      </c>
    </row>
    <row r="31">
      <c r="A31" s="6" t="inlineStr">
        <is>
          <t>Bani</t>
        </is>
      </c>
      <c r="B31" s="6" t="n">
        <v>2024</v>
      </c>
      <c r="C31" s="6" t="n">
        <v>4</v>
      </c>
      <c r="D31" s="6" t="inlineStr">
        <is>
          <t>Apr</t>
        </is>
      </c>
      <c r="E31" s="7">
        <f>Monthly_Estimates!F7</f>
        <v/>
      </c>
      <c r="F31" s="24">
        <f>E31/1000</f>
        <v/>
      </c>
      <c r="G31" s="11">
        <f>Monthly_Estimates!B7</f>
        <v/>
      </c>
      <c r="H31" s="6">
        <f>CHOOSE(Assumptions!$B$5,"Observed provincial profile + windows","Pooled profile + windows","Linear arithmetic")</f>
        <v/>
      </c>
      <c r="I31" s="6" t="inlineStr">
        <is>
          <t>Low–Medium (2024: FOI coverage limited)</t>
        </is>
      </c>
    </row>
    <row r="32">
      <c r="A32" s="6" t="inlineStr">
        <is>
          <t>Bani</t>
        </is>
      </c>
      <c r="B32" s="6" t="n">
        <v>2024</v>
      </c>
      <c r="C32" s="6" t="n">
        <v>5</v>
      </c>
      <c r="D32" s="6" t="inlineStr">
        <is>
          <t>May</t>
        </is>
      </c>
      <c r="E32" s="7">
        <f>Monthly_Estimates!G7</f>
        <v/>
      </c>
      <c r="F32" s="24">
        <f>E32/1000</f>
        <v/>
      </c>
      <c r="G32" s="11">
        <f>Monthly_Estimates!B7</f>
        <v/>
      </c>
      <c r="H32" s="6">
        <f>CHOOSE(Assumptions!$B$5,"Observed provincial profile + windows","Pooled profile + windows","Linear arithmetic")</f>
        <v/>
      </c>
      <c r="I32" s="6" t="inlineStr">
        <is>
          <t>Low–Medium (2024: FOI coverage limited)</t>
        </is>
      </c>
    </row>
    <row r="33">
      <c r="A33" s="6" t="inlineStr">
        <is>
          <t>Bani</t>
        </is>
      </c>
      <c r="B33" s="6" t="n">
        <v>2024</v>
      </c>
      <c r="C33" s="6" t="n">
        <v>6</v>
      </c>
      <c r="D33" s="6" t="inlineStr">
        <is>
          <t>Jun</t>
        </is>
      </c>
      <c r="E33" s="7">
        <f>Monthly_Estimates!H7</f>
        <v/>
      </c>
      <c r="F33" s="24">
        <f>E33/1000</f>
        <v/>
      </c>
      <c r="G33" s="11">
        <f>Monthly_Estimates!B7</f>
        <v/>
      </c>
      <c r="H33" s="6">
        <f>CHOOSE(Assumptions!$B$5,"Observed provincial profile + windows","Pooled profile + windows","Linear arithmetic")</f>
        <v/>
      </c>
      <c r="I33" s="6" t="inlineStr">
        <is>
          <t>Low–Medium (2024: FOI coverage limited)</t>
        </is>
      </c>
    </row>
    <row r="34">
      <c r="A34" s="6" t="inlineStr">
        <is>
          <t>Bani</t>
        </is>
      </c>
      <c r="B34" s="6" t="n">
        <v>2024</v>
      </c>
      <c r="C34" s="6" t="n">
        <v>7</v>
      </c>
      <c r="D34" s="6" t="inlineStr">
        <is>
          <t>Jul</t>
        </is>
      </c>
      <c r="E34" s="7">
        <f>Monthly_Estimates!I7</f>
        <v/>
      </c>
      <c r="F34" s="24">
        <f>E34/1000</f>
        <v/>
      </c>
      <c r="G34" s="11">
        <f>Monthly_Estimates!B7</f>
        <v/>
      </c>
      <c r="H34" s="6">
        <f>CHOOSE(Assumptions!$B$5,"Observed provincial profile + windows","Pooled profile + windows","Linear arithmetic")</f>
        <v/>
      </c>
      <c r="I34" s="6" t="inlineStr">
        <is>
          <t>Low–Medium (2024: FOI coverage limited)</t>
        </is>
      </c>
    </row>
    <row r="35">
      <c r="A35" s="6" t="inlineStr">
        <is>
          <t>Bani</t>
        </is>
      </c>
      <c r="B35" s="6" t="n">
        <v>2024</v>
      </c>
      <c r="C35" s="6" t="n">
        <v>8</v>
      </c>
      <c r="D35" s="6" t="inlineStr">
        <is>
          <t>Aug</t>
        </is>
      </c>
      <c r="E35" s="7">
        <f>Monthly_Estimates!J7</f>
        <v/>
      </c>
      <c r="F35" s="24">
        <f>E35/1000</f>
        <v/>
      </c>
      <c r="G35" s="11">
        <f>Monthly_Estimates!B7</f>
        <v/>
      </c>
      <c r="H35" s="6">
        <f>CHOOSE(Assumptions!$B$5,"Observed provincial profile + windows","Pooled profile + windows","Linear arithmetic")</f>
        <v/>
      </c>
      <c r="I35" s="6" t="inlineStr">
        <is>
          <t>Low–Medium (2024: FOI coverage limited)</t>
        </is>
      </c>
    </row>
    <row r="36">
      <c r="A36" s="6" t="inlineStr">
        <is>
          <t>Bani</t>
        </is>
      </c>
      <c r="B36" s="6" t="n">
        <v>2024</v>
      </c>
      <c r="C36" s="6" t="n">
        <v>9</v>
      </c>
      <c r="D36" s="6" t="inlineStr">
        <is>
          <t>Sep</t>
        </is>
      </c>
      <c r="E36" s="7">
        <f>Monthly_Estimates!K7</f>
        <v/>
      </c>
      <c r="F36" s="24">
        <f>E36/1000</f>
        <v/>
      </c>
      <c r="G36" s="11">
        <f>Monthly_Estimates!B7</f>
        <v/>
      </c>
      <c r="H36" s="6">
        <f>CHOOSE(Assumptions!$B$5,"Observed provincial profile + windows","Pooled profile + windows","Linear arithmetic")</f>
        <v/>
      </c>
      <c r="I36" s="6" t="inlineStr">
        <is>
          <t>Low–Medium (2024: FOI coverage limited)</t>
        </is>
      </c>
    </row>
    <row r="37">
      <c r="A37" s="6" t="inlineStr">
        <is>
          <t>Bani</t>
        </is>
      </c>
      <c r="B37" s="6" t="n">
        <v>2024</v>
      </c>
      <c r="C37" s="6" t="n">
        <v>10</v>
      </c>
      <c r="D37" s="6" t="inlineStr">
        <is>
          <t>Oct</t>
        </is>
      </c>
      <c r="E37" s="7">
        <f>Monthly_Estimates!L7</f>
        <v/>
      </c>
      <c r="F37" s="24">
        <f>E37/1000</f>
        <v/>
      </c>
      <c r="G37" s="11">
        <f>Monthly_Estimates!B7</f>
        <v/>
      </c>
      <c r="H37" s="6">
        <f>CHOOSE(Assumptions!$B$5,"Observed provincial profile + windows","Pooled profile + windows","Linear arithmetic")</f>
        <v/>
      </c>
      <c r="I37" s="6" t="inlineStr">
        <is>
          <t>Low–Medium (2024: FOI coverage limited)</t>
        </is>
      </c>
    </row>
    <row r="38">
      <c r="A38" s="6" t="inlineStr">
        <is>
          <t>Bani</t>
        </is>
      </c>
      <c r="B38" s="6" t="n">
        <v>2024</v>
      </c>
      <c r="C38" s="6" t="n">
        <v>11</v>
      </c>
      <c r="D38" s="6" t="inlineStr">
        <is>
          <t>Nov</t>
        </is>
      </c>
      <c r="E38" s="7">
        <f>Monthly_Estimates!M7</f>
        <v/>
      </c>
      <c r="F38" s="24">
        <f>E38/1000</f>
        <v/>
      </c>
      <c r="G38" s="11">
        <f>Monthly_Estimates!B7</f>
        <v/>
      </c>
      <c r="H38" s="6">
        <f>CHOOSE(Assumptions!$B$5,"Observed provincial profile + windows","Pooled profile + windows","Linear arithmetic")</f>
        <v/>
      </c>
      <c r="I38" s="6" t="inlineStr">
        <is>
          <t>Low–Medium (2024: FOI coverage limited)</t>
        </is>
      </c>
    </row>
    <row r="39">
      <c r="A39" s="6" t="inlineStr">
        <is>
          <t>Bani</t>
        </is>
      </c>
      <c r="B39" s="6" t="n">
        <v>2024</v>
      </c>
      <c r="C39" s="6" t="n">
        <v>12</v>
      </c>
      <c r="D39" s="6" t="inlineStr">
        <is>
          <t>Dec</t>
        </is>
      </c>
      <c r="E39" s="7">
        <f>Monthly_Estimates!N7</f>
        <v/>
      </c>
      <c r="F39" s="24">
        <f>E39/1000</f>
        <v/>
      </c>
      <c r="G39" s="11">
        <f>Monthly_Estimates!B7</f>
        <v/>
      </c>
      <c r="H39" s="6">
        <f>CHOOSE(Assumptions!$B$5,"Observed provincial profile + windows","Pooled profile + windows","Linear arithmetic")</f>
        <v/>
      </c>
      <c r="I39" s="6" t="inlineStr">
        <is>
          <t>Low–Medium (2024: FOI coverage limited)</t>
        </is>
      </c>
    </row>
    <row r="40">
      <c r="A40" s="6" t="inlineStr">
        <is>
          <t>Bolinao</t>
        </is>
      </c>
      <c r="B40" s="6" t="n">
        <v>2024</v>
      </c>
      <c r="C40" s="6" t="n">
        <v>1</v>
      </c>
      <c r="D40" s="6" t="inlineStr">
        <is>
          <t>Jan</t>
        </is>
      </c>
      <c r="E40" s="7">
        <f>Monthly_Estimates!C8</f>
        <v/>
      </c>
      <c r="F40" s="24">
        <f>E40/1000</f>
        <v/>
      </c>
      <c r="G40" s="11">
        <f>Monthly_Estimates!B8</f>
        <v/>
      </c>
      <c r="H40" s="6">
        <f>CHOOSE(Assumptions!$B$5,"Observed provincial profile + windows","Pooled profile + windows","Linear arithmetic")</f>
        <v/>
      </c>
      <c r="I40" s="6" t="inlineStr">
        <is>
          <t>Low–Medium (2024: FOI coverage limited)</t>
        </is>
      </c>
    </row>
    <row r="41">
      <c r="A41" s="6" t="inlineStr">
        <is>
          <t>Bolinao</t>
        </is>
      </c>
      <c r="B41" s="6" t="n">
        <v>2024</v>
      </c>
      <c r="C41" s="6" t="n">
        <v>2</v>
      </c>
      <c r="D41" s="6" t="inlineStr">
        <is>
          <t>Feb</t>
        </is>
      </c>
      <c r="E41" s="7">
        <f>Monthly_Estimates!D8</f>
        <v/>
      </c>
      <c r="F41" s="24">
        <f>E41/1000</f>
        <v/>
      </c>
      <c r="G41" s="11">
        <f>Monthly_Estimates!B8</f>
        <v/>
      </c>
      <c r="H41" s="6">
        <f>CHOOSE(Assumptions!$B$5,"Observed provincial profile + windows","Pooled profile + windows","Linear arithmetic")</f>
        <v/>
      </c>
      <c r="I41" s="6" t="inlineStr">
        <is>
          <t>Low–Medium (2024: FOI coverage limited)</t>
        </is>
      </c>
    </row>
    <row r="42">
      <c r="A42" s="6" t="inlineStr">
        <is>
          <t>Bolinao</t>
        </is>
      </c>
      <c r="B42" s="6" t="n">
        <v>2024</v>
      </c>
      <c r="C42" s="6" t="n">
        <v>3</v>
      </c>
      <c r="D42" s="6" t="inlineStr">
        <is>
          <t>Mar</t>
        </is>
      </c>
      <c r="E42" s="7">
        <f>Monthly_Estimates!E8</f>
        <v/>
      </c>
      <c r="F42" s="24">
        <f>E42/1000</f>
        <v/>
      </c>
      <c r="G42" s="11">
        <f>Monthly_Estimates!B8</f>
        <v/>
      </c>
      <c r="H42" s="6">
        <f>CHOOSE(Assumptions!$B$5,"Observed provincial profile + windows","Pooled profile + windows","Linear arithmetic")</f>
        <v/>
      </c>
      <c r="I42" s="6" t="inlineStr">
        <is>
          <t>Low–Medium (2024: FOI coverage limited)</t>
        </is>
      </c>
    </row>
    <row r="43">
      <c r="A43" s="6" t="inlineStr">
        <is>
          <t>Bolinao</t>
        </is>
      </c>
      <c r="B43" s="6" t="n">
        <v>2024</v>
      </c>
      <c r="C43" s="6" t="n">
        <v>4</v>
      </c>
      <c r="D43" s="6" t="inlineStr">
        <is>
          <t>Apr</t>
        </is>
      </c>
      <c r="E43" s="7">
        <f>Monthly_Estimates!F8</f>
        <v/>
      </c>
      <c r="F43" s="24">
        <f>E43/1000</f>
        <v/>
      </c>
      <c r="G43" s="11">
        <f>Monthly_Estimates!B8</f>
        <v/>
      </c>
      <c r="H43" s="6">
        <f>CHOOSE(Assumptions!$B$5,"Observed provincial profile + windows","Pooled profile + windows","Linear arithmetic")</f>
        <v/>
      </c>
      <c r="I43" s="6" t="inlineStr">
        <is>
          <t>Low–Medium (2024: FOI coverage limited)</t>
        </is>
      </c>
    </row>
    <row r="44">
      <c r="A44" s="6" t="inlineStr">
        <is>
          <t>Bolinao</t>
        </is>
      </c>
      <c r="B44" s="6" t="n">
        <v>2024</v>
      </c>
      <c r="C44" s="6" t="n">
        <v>5</v>
      </c>
      <c r="D44" s="6" t="inlineStr">
        <is>
          <t>May</t>
        </is>
      </c>
      <c r="E44" s="7">
        <f>Monthly_Estimates!G8</f>
        <v/>
      </c>
      <c r="F44" s="24">
        <f>E44/1000</f>
        <v/>
      </c>
      <c r="G44" s="11">
        <f>Monthly_Estimates!B8</f>
        <v/>
      </c>
      <c r="H44" s="6">
        <f>CHOOSE(Assumptions!$B$5,"Observed provincial profile + windows","Pooled profile + windows","Linear arithmetic")</f>
        <v/>
      </c>
      <c r="I44" s="6" t="inlineStr">
        <is>
          <t>Low–Medium (2024: FOI coverage limited)</t>
        </is>
      </c>
    </row>
    <row r="45">
      <c r="A45" s="6" t="inlineStr">
        <is>
          <t>Bolinao</t>
        </is>
      </c>
      <c r="B45" s="6" t="n">
        <v>2024</v>
      </c>
      <c r="C45" s="6" t="n">
        <v>6</v>
      </c>
      <c r="D45" s="6" t="inlineStr">
        <is>
          <t>Jun</t>
        </is>
      </c>
      <c r="E45" s="7">
        <f>Monthly_Estimates!H8</f>
        <v/>
      </c>
      <c r="F45" s="24">
        <f>E45/1000</f>
        <v/>
      </c>
      <c r="G45" s="11">
        <f>Monthly_Estimates!B8</f>
        <v/>
      </c>
      <c r="H45" s="6">
        <f>CHOOSE(Assumptions!$B$5,"Observed provincial profile + windows","Pooled profile + windows","Linear arithmetic")</f>
        <v/>
      </c>
      <c r="I45" s="6" t="inlineStr">
        <is>
          <t>Low–Medium (2024: FOI coverage limited)</t>
        </is>
      </c>
    </row>
    <row r="46">
      <c r="A46" s="6" t="inlineStr">
        <is>
          <t>Bolinao</t>
        </is>
      </c>
      <c r="B46" s="6" t="n">
        <v>2024</v>
      </c>
      <c r="C46" s="6" t="n">
        <v>7</v>
      </c>
      <c r="D46" s="6" t="inlineStr">
        <is>
          <t>Jul</t>
        </is>
      </c>
      <c r="E46" s="7">
        <f>Monthly_Estimates!I8</f>
        <v/>
      </c>
      <c r="F46" s="24">
        <f>E46/1000</f>
        <v/>
      </c>
      <c r="G46" s="11">
        <f>Monthly_Estimates!B8</f>
        <v/>
      </c>
      <c r="H46" s="6">
        <f>CHOOSE(Assumptions!$B$5,"Observed provincial profile + windows","Pooled profile + windows","Linear arithmetic")</f>
        <v/>
      </c>
      <c r="I46" s="6" t="inlineStr">
        <is>
          <t>Low–Medium (2024: FOI coverage limited)</t>
        </is>
      </c>
    </row>
    <row r="47">
      <c r="A47" s="6" t="inlineStr">
        <is>
          <t>Bolinao</t>
        </is>
      </c>
      <c r="B47" s="6" t="n">
        <v>2024</v>
      </c>
      <c r="C47" s="6" t="n">
        <v>8</v>
      </c>
      <c r="D47" s="6" t="inlineStr">
        <is>
          <t>Aug</t>
        </is>
      </c>
      <c r="E47" s="7">
        <f>Monthly_Estimates!J8</f>
        <v/>
      </c>
      <c r="F47" s="24">
        <f>E47/1000</f>
        <v/>
      </c>
      <c r="G47" s="11">
        <f>Monthly_Estimates!B8</f>
        <v/>
      </c>
      <c r="H47" s="6">
        <f>CHOOSE(Assumptions!$B$5,"Observed provincial profile + windows","Pooled profile + windows","Linear arithmetic")</f>
        <v/>
      </c>
      <c r="I47" s="6" t="inlineStr">
        <is>
          <t>Low–Medium (2024: FOI coverage limited)</t>
        </is>
      </c>
    </row>
    <row r="48">
      <c r="A48" s="6" t="inlineStr">
        <is>
          <t>Bolinao</t>
        </is>
      </c>
      <c r="B48" s="6" t="n">
        <v>2024</v>
      </c>
      <c r="C48" s="6" t="n">
        <v>9</v>
      </c>
      <c r="D48" s="6" t="inlineStr">
        <is>
          <t>Sep</t>
        </is>
      </c>
      <c r="E48" s="7">
        <f>Monthly_Estimates!K8</f>
        <v/>
      </c>
      <c r="F48" s="24">
        <f>E48/1000</f>
        <v/>
      </c>
      <c r="G48" s="11">
        <f>Monthly_Estimates!B8</f>
        <v/>
      </c>
      <c r="H48" s="6">
        <f>CHOOSE(Assumptions!$B$5,"Observed provincial profile + windows","Pooled profile + windows","Linear arithmetic")</f>
        <v/>
      </c>
      <c r="I48" s="6" t="inlineStr">
        <is>
          <t>Low–Medium (2024: FOI coverage limited)</t>
        </is>
      </c>
    </row>
    <row r="49">
      <c r="A49" s="6" t="inlineStr">
        <is>
          <t>Bolinao</t>
        </is>
      </c>
      <c r="B49" s="6" t="n">
        <v>2024</v>
      </c>
      <c r="C49" s="6" t="n">
        <v>10</v>
      </c>
      <c r="D49" s="6" t="inlineStr">
        <is>
          <t>Oct</t>
        </is>
      </c>
      <c r="E49" s="7">
        <f>Monthly_Estimates!L8</f>
        <v/>
      </c>
      <c r="F49" s="24">
        <f>E49/1000</f>
        <v/>
      </c>
      <c r="G49" s="11">
        <f>Monthly_Estimates!B8</f>
        <v/>
      </c>
      <c r="H49" s="6">
        <f>CHOOSE(Assumptions!$B$5,"Observed provincial profile + windows","Pooled profile + windows","Linear arithmetic")</f>
        <v/>
      </c>
      <c r="I49" s="6" t="inlineStr">
        <is>
          <t>Low–Medium (2024: FOI coverage limited)</t>
        </is>
      </c>
    </row>
    <row r="50">
      <c r="A50" s="6" t="inlineStr">
        <is>
          <t>Bolinao</t>
        </is>
      </c>
      <c r="B50" s="6" t="n">
        <v>2024</v>
      </c>
      <c r="C50" s="6" t="n">
        <v>11</v>
      </c>
      <c r="D50" s="6" t="inlineStr">
        <is>
          <t>Nov</t>
        </is>
      </c>
      <c r="E50" s="7">
        <f>Monthly_Estimates!M8</f>
        <v/>
      </c>
      <c r="F50" s="24">
        <f>E50/1000</f>
        <v/>
      </c>
      <c r="G50" s="11">
        <f>Monthly_Estimates!B8</f>
        <v/>
      </c>
      <c r="H50" s="6">
        <f>CHOOSE(Assumptions!$B$5,"Observed provincial profile + windows","Pooled profile + windows","Linear arithmetic")</f>
        <v/>
      </c>
      <c r="I50" s="6" t="inlineStr">
        <is>
          <t>Low–Medium (2024: FOI coverage limited)</t>
        </is>
      </c>
    </row>
    <row r="51">
      <c r="A51" s="6" t="inlineStr">
        <is>
          <t>Bolinao</t>
        </is>
      </c>
      <c r="B51" s="6" t="n">
        <v>2024</v>
      </c>
      <c r="C51" s="6" t="n">
        <v>12</v>
      </c>
      <c r="D51" s="6" t="inlineStr">
        <is>
          <t>Dec</t>
        </is>
      </c>
      <c r="E51" s="7">
        <f>Monthly_Estimates!N8</f>
        <v/>
      </c>
      <c r="F51" s="24">
        <f>E51/1000</f>
        <v/>
      </c>
      <c r="G51" s="11">
        <f>Monthly_Estimates!B8</f>
        <v/>
      </c>
      <c r="H51" s="6">
        <f>CHOOSE(Assumptions!$B$5,"Observed provincial profile + windows","Pooled profile + windows","Linear arithmetic")</f>
        <v/>
      </c>
      <c r="I51" s="6" t="inlineStr">
        <is>
          <t>Low–Medium (2024: FOI coverage limited)</t>
        </is>
      </c>
    </row>
    <row r="52">
      <c r="A52" s="6" t="inlineStr">
        <is>
          <t>Dasol</t>
        </is>
      </c>
      <c r="B52" s="6" t="n">
        <v>2024</v>
      </c>
      <c r="C52" s="6" t="n">
        <v>1</v>
      </c>
      <c r="D52" s="6" t="inlineStr">
        <is>
          <t>Jan</t>
        </is>
      </c>
      <c r="E52" s="7">
        <f>Monthly_Estimates!C9</f>
        <v/>
      </c>
      <c r="F52" s="24">
        <f>E52/1000</f>
        <v/>
      </c>
      <c r="G52" s="11">
        <f>Monthly_Estimates!B9</f>
        <v/>
      </c>
      <c r="H52" s="6">
        <f>CHOOSE(Assumptions!$B$5,"Observed provincial profile + windows","Pooled profile + windows","Linear arithmetic")</f>
        <v/>
      </c>
      <c r="I52" s="6" t="inlineStr">
        <is>
          <t>Low (2024: FOI coverage limited)</t>
        </is>
      </c>
    </row>
    <row r="53">
      <c r="A53" s="6" t="inlineStr">
        <is>
          <t>Dasol</t>
        </is>
      </c>
      <c r="B53" s="6" t="n">
        <v>2024</v>
      </c>
      <c r="C53" s="6" t="n">
        <v>2</v>
      </c>
      <c r="D53" s="6" t="inlineStr">
        <is>
          <t>Feb</t>
        </is>
      </c>
      <c r="E53" s="7">
        <f>Monthly_Estimates!D9</f>
        <v/>
      </c>
      <c r="F53" s="24">
        <f>E53/1000</f>
        <v/>
      </c>
      <c r="G53" s="11">
        <f>Monthly_Estimates!B9</f>
        <v/>
      </c>
      <c r="H53" s="6">
        <f>CHOOSE(Assumptions!$B$5,"Observed provincial profile + windows","Pooled profile + windows","Linear arithmetic")</f>
        <v/>
      </c>
      <c r="I53" s="6" t="inlineStr">
        <is>
          <t>Low (2024: FOI coverage limited)</t>
        </is>
      </c>
    </row>
    <row r="54">
      <c r="A54" s="6" t="inlineStr">
        <is>
          <t>Dasol</t>
        </is>
      </c>
      <c r="B54" s="6" t="n">
        <v>2024</v>
      </c>
      <c r="C54" s="6" t="n">
        <v>3</v>
      </c>
      <c r="D54" s="6" t="inlineStr">
        <is>
          <t>Mar</t>
        </is>
      </c>
      <c r="E54" s="7">
        <f>Monthly_Estimates!E9</f>
        <v/>
      </c>
      <c r="F54" s="24">
        <f>E54/1000</f>
        <v/>
      </c>
      <c r="G54" s="11">
        <f>Monthly_Estimates!B9</f>
        <v/>
      </c>
      <c r="H54" s="6">
        <f>CHOOSE(Assumptions!$B$5,"Observed provincial profile + windows","Pooled profile + windows","Linear arithmetic")</f>
        <v/>
      </c>
      <c r="I54" s="6" t="inlineStr">
        <is>
          <t>Low (2024: FOI coverage limited)</t>
        </is>
      </c>
    </row>
    <row r="55">
      <c r="A55" s="6" t="inlineStr">
        <is>
          <t>Dasol</t>
        </is>
      </c>
      <c r="B55" s="6" t="n">
        <v>2024</v>
      </c>
      <c r="C55" s="6" t="n">
        <v>4</v>
      </c>
      <c r="D55" s="6" t="inlineStr">
        <is>
          <t>Apr</t>
        </is>
      </c>
      <c r="E55" s="7">
        <f>Monthly_Estimates!F9</f>
        <v/>
      </c>
      <c r="F55" s="24">
        <f>E55/1000</f>
        <v/>
      </c>
      <c r="G55" s="11">
        <f>Monthly_Estimates!B9</f>
        <v/>
      </c>
      <c r="H55" s="6">
        <f>CHOOSE(Assumptions!$B$5,"Observed provincial profile + windows","Pooled profile + windows","Linear arithmetic")</f>
        <v/>
      </c>
      <c r="I55" s="6" t="inlineStr">
        <is>
          <t>Low (2024: FOI coverage limited)</t>
        </is>
      </c>
    </row>
    <row r="56">
      <c r="A56" s="6" t="inlineStr">
        <is>
          <t>Dasol</t>
        </is>
      </c>
      <c r="B56" s="6" t="n">
        <v>2024</v>
      </c>
      <c r="C56" s="6" t="n">
        <v>5</v>
      </c>
      <c r="D56" s="6" t="inlineStr">
        <is>
          <t>May</t>
        </is>
      </c>
      <c r="E56" s="7">
        <f>Monthly_Estimates!G9</f>
        <v/>
      </c>
      <c r="F56" s="24">
        <f>E56/1000</f>
        <v/>
      </c>
      <c r="G56" s="11">
        <f>Monthly_Estimates!B9</f>
        <v/>
      </c>
      <c r="H56" s="6">
        <f>CHOOSE(Assumptions!$B$5,"Observed provincial profile + windows","Pooled profile + windows","Linear arithmetic")</f>
        <v/>
      </c>
      <c r="I56" s="6" t="inlineStr">
        <is>
          <t>Low (2024: FOI coverage limited)</t>
        </is>
      </c>
    </row>
    <row r="57">
      <c r="A57" s="6" t="inlineStr">
        <is>
          <t>Dasol</t>
        </is>
      </c>
      <c r="B57" s="6" t="n">
        <v>2024</v>
      </c>
      <c r="C57" s="6" t="n">
        <v>6</v>
      </c>
      <c r="D57" s="6" t="inlineStr">
        <is>
          <t>Jun</t>
        </is>
      </c>
      <c r="E57" s="7">
        <f>Monthly_Estimates!H9</f>
        <v/>
      </c>
      <c r="F57" s="24">
        <f>E57/1000</f>
        <v/>
      </c>
      <c r="G57" s="11">
        <f>Monthly_Estimates!B9</f>
        <v/>
      </c>
      <c r="H57" s="6">
        <f>CHOOSE(Assumptions!$B$5,"Observed provincial profile + windows","Pooled profile + windows","Linear arithmetic")</f>
        <v/>
      </c>
      <c r="I57" s="6" t="inlineStr">
        <is>
          <t>Low (2024: FOI coverage limited)</t>
        </is>
      </c>
    </row>
    <row r="58">
      <c r="A58" s="6" t="inlineStr">
        <is>
          <t>Dasol</t>
        </is>
      </c>
      <c r="B58" s="6" t="n">
        <v>2024</v>
      </c>
      <c r="C58" s="6" t="n">
        <v>7</v>
      </c>
      <c r="D58" s="6" t="inlineStr">
        <is>
          <t>Jul</t>
        </is>
      </c>
      <c r="E58" s="7">
        <f>Monthly_Estimates!I9</f>
        <v/>
      </c>
      <c r="F58" s="24">
        <f>E58/1000</f>
        <v/>
      </c>
      <c r="G58" s="11">
        <f>Monthly_Estimates!B9</f>
        <v/>
      </c>
      <c r="H58" s="6">
        <f>CHOOSE(Assumptions!$B$5,"Observed provincial profile + windows","Pooled profile + windows","Linear arithmetic")</f>
        <v/>
      </c>
      <c r="I58" s="6" t="inlineStr">
        <is>
          <t>Low (2024: FOI coverage limited)</t>
        </is>
      </c>
    </row>
    <row r="59">
      <c r="A59" s="6" t="inlineStr">
        <is>
          <t>Dasol</t>
        </is>
      </c>
      <c r="B59" s="6" t="n">
        <v>2024</v>
      </c>
      <c r="C59" s="6" t="n">
        <v>8</v>
      </c>
      <c r="D59" s="6" t="inlineStr">
        <is>
          <t>Aug</t>
        </is>
      </c>
      <c r="E59" s="7">
        <f>Monthly_Estimates!J9</f>
        <v/>
      </c>
      <c r="F59" s="24">
        <f>E59/1000</f>
        <v/>
      </c>
      <c r="G59" s="11">
        <f>Monthly_Estimates!B9</f>
        <v/>
      </c>
      <c r="H59" s="6">
        <f>CHOOSE(Assumptions!$B$5,"Observed provincial profile + windows","Pooled profile + windows","Linear arithmetic")</f>
        <v/>
      </c>
      <c r="I59" s="6" t="inlineStr">
        <is>
          <t>Low (2024: FOI coverage limited)</t>
        </is>
      </c>
    </row>
    <row r="60">
      <c r="A60" s="6" t="inlineStr">
        <is>
          <t>Dasol</t>
        </is>
      </c>
      <c r="B60" s="6" t="n">
        <v>2024</v>
      </c>
      <c r="C60" s="6" t="n">
        <v>9</v>
      </c>
      <c r="D60" s="6" t="inlineStr">
        <is>
          <t>Sep</t>
        </is>
      </c>
      <c r="E60" s="7">
        <f>Monthly_Estimates!K9</f>
        <v/>
      </c>
      <c r="F60" s="24">
        <f>E60/1000</f>
        <v/>
      </c>
      <c r="G60" s="11">
        <f>Monthly_Estimates!B9</f>
        <v/>
      </c>
      <c r="H60" s="6">
        <f>CHOOSE(Assumptions!$B$5,"Observed provincial profile + windows","Pooled profile + windows","Linear arithmetic")</f>
        <v/>
      </c>
      <c r="I60" s="6" t="inlineStr">
        <is>
          <t>Low (2024: FOI coverage limited)</t>
        </is>
      </c>
    </row>
    <row r="61">
      <c r="A61" s="6" t="inlineStr">
        <is>
          <t>Dasol</t>
        </is>
      </c>
      <c r="B61" s="6" t="n">
        <v>2024</v>
      </c>
      <c r="C61" s="6" t="n">
        <v>10</v>
      </c>
      <c r="D61" s="6" t="inlineStr">
        <is>
          <t>Oct</t>
        </is>
      </c>
      <c r="E61" s="7">
        <f>Monthly_Estimates!L9</f>
        <v/>
      </c>
      <c r="F61" s="24">
        <f>E61/1000</f>
        <v/>
      </c>
      <c r="G61" s="11">
        <f>Monthly_Estimates!B9</f>
        <v/>
      </c>
      <c r="H61" s="6">
        <f>CHOOSE(Assumptions!$B$5,"Observed provincial profile + windows","Pooled profile + windows","Linear arithmetic")</f>
        <v/>
      </c>
      <c r="I61" s="6" t="inlineStr">
        <is>
          <t>Low (2024: FOI coverage limited)</t>
        </is>
      </c>
    </row>
    <row r="62">
      <c r="A62" s="6" t="inlineStr">
        <is>
          <t>Dasol</t>
        </is>
      </c>
      <c r="B62" s="6" t="n">
        <v>2024</v>
      </c>
      <c r="C62" s="6" t="n">
        <v>11</v>
      </c>
      <c r="D62" s="6" t="inlineStr">
        <is>
          <t>Nov</t>
        </is>
      </c>
      <c r="E62" s="7">
        <f>Monthly_Estimates!M9</f>
        <v/>
      </c>
      <c r="F62" s="24">
        <f>E62/1000</f>
        <v/>
      </c>
      <c r="G62" s="11">
        <f>Monthly_Estimates!B9</f>
        <v/>
      </c>
      <c r="H62" s="6">
        <f>CHOOSE(Assumptions!$B$5,"Observed provincial profile + windows","Pooled profile + windows","Linear arithmetic")</f>
        <v/>
      </c>
      <c r="I62" s="6" t="inlineStr">
        <is>
          <t>Low (2024: FOI coverage limited)</t>
        </is>
      </c>
    </row>
    <row r="63">
      <c r="A63" s="6" t="inlineStr">
        <is>
          <t>Dasol</t>
        </is>
      </c>
      <c r="B63" s="6" t="n">
        <v>2024</v>
      </c>
      <c r="C63" s="6" t="n">
        <v>12</v>
      </c>
      <c r="D63" s="6" t="inlineStr">
        <is>
          <t>Dec</t>
        </is>
      </c>
      <c r="E63" s="7">
        <f>Monthly_Estimates!N9</f>
        <v/>
      </c>
      <c r="F63" s="24">
        <f>E63/1000</f>
        <v/>
      </c>
      <c r="G63" s="11">
        <f>Monthly_Estimates!B9</f>
        <v/>
      </c>
      <c r="H63" s="6">
        <f>CHOOSE(Assumptions!$B$5,"Observed provincial profile + windows","Pooled profile + windows","Linear arithmetic")</f>
        <v/>
      </c>
      <c r="I63" s="6" t="inlineStr">
        <is>
          <t>Low (2024: FOI coverage limited)</t>
        </is>
      </c>
    </row>
    <row r="64">
      <c r="A64" s="6" t="inlineStr">
        <is>
          <t>Infanta</t>
        </is>
      </c>
      <c r="B64" s="6" t="n">
        <v>2024</v>
      </c>
      <c r="C64" s="6" t="n">
        <v>1</v>
      </c>
      <c r="D64" s="6" t="inlineStr">
        <is>
          <t>Jan</t>
        </is>
      </c>
      <c r="E64" s="7">
        <f>Monthly_Estimates!C10</f>
        <v/>
      </c>
      <c r="F64" s="24">
        <f>E64/1000</f>
        <v/>
      </c>
      <c r="G64" s="11">
        <f>Monthly_Estimates!B10</f>
        <v/>
      </c>
      <c r="H64" s="6">
        <f>CHOOSE(Assumptions!$B$5,"Observed provincial profile + windows","Pooled profile + windows","Linear arithmetic")</f>
        <v/>
      </c>
      <c r="I64" s="6" t="inlineStr">
        <is>
          <t>Low–Medium (2024: FOI coverage limited)</t>
        </is>
      </c>
    </row>
    <row r="65">
      <c r="A65" s="6" t="inlineStr">
        <is>
          <t>Infanta</t>
        </is>
      </c>
      <c r="B65" s="6" t="n">
        <v>2024</v>
      </c>
      <c r="C65" s="6" t="n">
        <v>2</v>
      </c>
      <c r="D65" s="6" t="inlineStr">
        <is>
          <t>Feb</t>
        </is>
      </c>
      <c r="E65" s="7">
        <f>Monthly_Estimates!D10</f>
        <v/>
      </c>
      <c r="F65" s="24">
        <f>E65/1000</f>
        <v/>
      </c>
      <c r="G65" s="11">
        <f>Monthly_Estimates!B10</f>
        <v/>
      </c>
      <c r="H65" s="6">
        <f>CHOOSE(Assumptions!$B$5,"Observed provincial profile + windows","Pooled profile + windows","Linear arithmetic")</f>
        <v/>
      </c>
      <c r="I65" s="6" t="inlineStr">
        <is>
          <t>Low–Medium (2024: FOI coverage limited)</t>
        </is>
      </c>
    </row>
    <row r="66">
      <c r="A66" s="6" t="inlineStr">
        <is>
          <t>Infanta</t>
        </is>
      </c>
      <c r="B66" s="6" t="n">
        <v>2024</v>
      </c>
      <c r="C66" s="6" t="n">
        <v>3</v>
      </c>
      <c r="D66" s="6" t="inlineStr">
        <is>
          <t>Mar</t>
        </is>
      </c>
      <c r="E66" s="7">
        <f>Monthly_Estimates!E10</f>
        <v/>
      </c>
      <c r="F66" s="24">
        <f>E66/1000</f>
        <v/>
      </c>
      <c r="G66" s="11">
        <f>Monthly_Estimates!B10</f>
        <v/>
      </c>
      <c r="H66" s="6">
        <f>CHOOSE(Assumptions!$B$5,"Observed provincial profile + windows","Pooled profile + windows","Linear arithmetic")</f>
        <v/>
      </c>
      <c r="I66" s="6" t="inlineStr">
        <is>
          <t>Low–Medium (2024: FOI coverage limited)</t>
        </is>
      </c>
    </row>
    <row r="67">
      <c r="A67" s="6" t="inlineStr">
        <is>
          <t>Infanta</t>
        </is>
      </c>
      <c r="B67" s="6" t="n">
        <v>2024</v>
      </c>
      <c r="C67" s="6" t="n">
        <v>4</v>
      </c>
      <c r="D67" s="6" t="inlineStr">
        <is>
          <t>Apr</t>
        </is>
      </c>
      <c r="E67" s="7">
        <f>Monthly_Estimates!F10</f>
        <v/>
      </c>
      <c r="F67" s="24">
        <f>E67/1000</f>
        <v/>
      </c>
      <c r="G67" s="11">
        <f>Monthly_Estimates!B10</f>
        <v/>
      </c>
      <c r="H67" s="6">
        <f>CHOOSE(Assumptions!$B$5,"Observed provincial profile + windows","Pooled profile + windows","Linear arithmetic")</f>
        <v/>
      </c>
      <c r="I67" s="6" t="inlineStr">
        <is>
          <t>Low–Medium (2024: FOI coverage limited)</t>
        </is>
      </c>
    </row>
    <row r="68">
      <c r="A68" s="6" t="inlineStr">
        <is>
          <t>Infanta</t>
        </is>
      </c>
      <c r="B68" s="6" t="n">
        <v>2024</v>
      </c>
      <c r="C68" s="6" t="n">
        <v>5</v>
      </c>
      <c r="D68" s="6" t="inlineStr">
        <is>
          <t>May</t>
        </is>
      </c>
      <c r="E68" s="7">
        <f>Monthly_Estimates!G10</f>
        <v/>
      </c>
      <c r="F68" s="24">
        <f>E68/1000</f>
        <v/>
      </c>
      <c r="G68" s="11">
        <f>Monthly_Estimates!B10</f>
        <v/>
      </c>
      <c r="H68" s="6">
        <f>CHOOSE(Assumptions!$B$5,"Observed provincial profile + windows","Pooled profile + windows","Linear arithmetic")</f>
        <v/>
      </c>
      <c r="I68" s="6" t="inlineStr">
        <is>
          <t>Low–Medium (2024: FOI coverage limited)</t>
        </is>
      </c>
    </row>
    <row r="69">
      <c r="A69" s="6" t="inlineStr">
        <is>
          <t>Infanta</t>
        </is>
      </c>
      <c r="B69" s="6" t="n">
        <v>2024</v>
      </c>
      <c r="C69" s="6" t="n">
        <v>6</v>
      </c>
      <c r="D69" s="6" t="inlineStr">
        <is>
          <t>Jun</t>
        </is>
      </c>
      <c r="E69" s="7">
        <f>Monthly_Estimates!H10</f>
        <v/>
      </c>
      <c r="F69" s="24">
        <f>E69/1000</f>
        <v/>
      </c>
      <c r="G69" s="11">
        <f>Monthly_Estimates!B10</f>
        <v/>
      </c>
      <c r="H69" s="6">
        <f>CHOOSE(Assumptions!$B$5,"Observed provincial profile + windows","Pooled profile + windows","Linear arithmetic")</f>
        <v/>
      </c>
      <c r="I69" s="6" t="inlineStr">
        <is>
          <t>Low–Medium (2024: FOI coverage limited)</t>
        </is>
      </c>
    </row>
    <row r="70">
      <c r="A70" s="6" t="inlineStr">
        <is>
          <t>Infanta</t>
        </is>
      </c>
      <c r="B70" s="6" t="n">
        <v>2024</v>
      </c>
      <c r="C70" s="6" t="n">
        <v>7</v>
      </c>
      <c r="D70" s="6" t="inlineStr">
        <is>
          <t>Jul</t>
        </is>
      </c>
      <c r="E70" s="7">
        <f>Monthly_Estimates!I10</f>
        <v/>
      </c>
      <c r="F70" s="24">
        <f>E70/1000</f>
        <v/>
      </c>
      <c r="G70" s="11">
        <f>Monthly_Estimates!B10</f>
        <v/>
      </c>
      <c r="H70" s="6">
        <f>CHOOSE(Assumptions!$B$5,"Observed provincial profile + windows","Pooled profile + windows","Linear arithmetic")</f>
        <v/>
      </c>
      <c r="I70" s="6" t="inlineStr">
        <is>
          <t>Low–Medium (2024: FOI coverage limited)</t>
        </is>
      </c>
    </row>
    <row r="71">
      <c r="A71" s="6" t="inlineStr">
        <is>
          <t>Infanta</t>
        </is>
      </c>
      <c r="B71" s="6" t="n">
        <v>2024</v>
      </c>
      <c r="C71" s="6" t="n">
        <v>8</v>
      </c>
      <c r="D71" s="6" t="inlineStr">
        <is>
          <t>Aug</t>
        </is>
      </c>
      <c r="E71" s="7">
        <f>Monthly_Estimates!J10</f>
        <v/>
      </c>
      <c r="F71" s="24">
        <f>E71/1000</f>
        <v/>
      </c>
      <c r="G71" s="11">
        <f>Monthly_Estimates!B10</f>
        <v/>
      </c>
      <c r="H71" s="6">
        <f>CHOOSE(Assumptions!$B$5,"Observed provincial profile + windows","Pooled profile + windows","Linear arithmetic")</f>
        <v/>
      </c>
      <c r="I71" s="6" t="inlineStr">
        <is>
          <t>Low–Medium (2024: FOI coverage limited)</t>
        </is>
      </c>
    </row>
    <row r="72">
      <c r="A72" s="6" t="inlineStr">
        <is>
          <t>Infanta</t>
        </is>
      </c>
      <c r="B72" s="6" t="n">
        <v>2024</v>
      </c>
      <c r="C72" s="6" t="n">
        <v>9</v>
      </c>
      <c r="D72" s="6" t="inlineStr">
        <is>
          <t>Sep</t>
        </is>
      </c>
      <c r="E72" s="7">
        <f>Monthly_Estimates!K10</f>
        <v/>
      </c>
      <c r="F72" s="24">
        <f>E72/1000</f>
        <v/>
      </c>
      <c r="G72" s="11">
        <f>Monthly_Estimates!B10</f>
        <v/>
      </c>
      <c r="H72" s="6">
        <f>CHOOSE(Assumptions!$B$5,"Observed provincial profile + windows","Pooled profile + windows","Linear arithmetic")</f>
        <v/>
      </c>
      <c r="I72" s="6" t="inlineStr">
        <is>
          <t>Low–Medium (2024: FOI coverage limited)</t>
        </is>
      </c>
    </row>
    <row r="73">
      <c r="A73" s="6" t="inlineStr">
        <is>
          <t>Infanta</t>
        </is>
      </c>
      <c r="B73" s="6" t="n">
        <v>2024</v>
      </c>
      <c r="C73" s="6" t="n">
        <v>10</v>
      </c>
      <c r="D73" s="6" t="inlineStr">
        <is>
          <t>Oct</t>
        </is>
      </c>
      <c r="E73" s="7">
        <f>Monthly_Estimates!L10</f>
        <v/>
      </c>
      <c r="F73" s="24">
        <f>E73/1000</f>
        <v/>
      </c>
      <c r="G73" s="11">
        <f>Monthly_Estimates!B10</f>
        <v/>
      </c>
      <c r="H73" s="6">
        <f>CHOOSE(Assumptions!$B$5,"Observed provincial profile + windows","Pooled profile + windows","Linear arithmetic")</f>
        <v/>
      </c>
      <c r="I73" s="6" t="inlineStr">
        <is>
          <t>Low–Medium (2024: FOI coverage limited)</t>
        </is>
      </c>
    </row>
    <row r="74">
      <c r="A74" s="6" t="inlineStr">
        <is>
          <t>Infanta</t>
        </is>
      </c>
      <c r="B74" s="6" t="n">
        <v>2024</v>
      </c>
      <c r="C74" s="6" t="n">
        <v>11</v>
      </c>
      <c r="D74" s="6" t="inlineStr">
        <is>
          <t>Nov</t>
        </is>
      </c>
      <c r="E74" s="7">
        <f>Monthly_Estimates!M10</f>
        <v/>
      </c>
      <c r="F74" s="24">
        <f>E74/1000</f>
        <v/>
      </c>
      <c r="G74" s="11">
        <f>Monthly_Estimates!B10</f>
        <v/>
      </c>
      <c r="H74" s="6">
        <f>CHOOSE(Assumptions!$B$5,"Observed provincial profile + windows","Pooled profile + windows","Linear arithmetic")</f>
        <v/>
      </c>
      <c r="I74" s="6" t="inlineStr">
        <is>
          <t>Low–Medium (2024: FOI coverage limited)</t>
        </is>
      </c>
    </row>
    <row r="75">
      <c r="A75" s="6" t="inlineStr">
        <is>
          <t>Infanta</t>
        </is>
      </c>
      <c r="B75" s="6" t="n">
        <v>2024</v>
      </c>
      <c r="C75" s="6" t="n">
        <v>12</v>
      </c>
      <c r="D75" s="6" t="inlineStr">
        <is>
          <t>Dec</t>
        </is>
      </c>
      <c r="E75" s="7">
        <f>Monthly_Estimates!N10</f>
        <v/>
      </c>
      <c r="F75" s="24">
        <f>E75/1000</f>
        <v/>
      </c>
      <c r="G75" s="11">
        <f>Monthly_Estimates!B10</f>
        <v/>
      </c>
      <c r="H75" s="6">
        <f>CHOOSE(Assumptions!$B$5,"Observed provincial profile + windows","Pooled profile + windows","Linear arithmetic")</f>
        <v/>
      </c>
      <c r="I75" s="6" t="inlineStr">
        <is>
          <t>Low–Medium (2024: FOI coverage limited)</t>
        </is>
      </c>
    </row>
    <row r="76">
      <c r="A76" s="6" t="inlineStr">
        <is>
          <t>San Fabian</t>
        </is>
      </c>
      <c r="B76" s="6" t="n">
        <v>2024</v>
      </c>
      <c r="C76" s="6" t="n">
        <v>1</v>
      </c>
      <c r="D76" s="6" t="inlineStr">
        <is>
          <t>Jan</t>
        </is>
      </c>
      <c r="E76" s="7">
        <f>Monthly_Estimates!C11</f>
        <v/>
      </c>
      <c r="F76" s="24">
        <f>E76/1000</f>
        <v/>
      </c>
      <c r="G76" s="11">
        <f>Monthly_Estimates!B11</f>
        <v/>
      </c>
      <c r="H76" s="6">
        <f>CHOOSE(Assumptions!$B$5,"Observed provincial profile + windows","Pooled profile + windows","Linear arithmetic")</f>
        <v/>
      </c>
      <c r="I76" s="6" t="inlineStr">
        <is>
          <t>Medium–High</t>
        </is>
      </c>
    </row>
    <row r="77">
      <c r="A77" s="6" t="inlineStr">
        <is>
          <t>San Fabian</t>
        </is>
      </c>
      <c r="B77" s="6" t="n">
        <v>2024</v>
      </c>
      <c r="C77" s="6" t="n">
        <v>2</v>
      </c>
      <c r="D77" s="6" t="inlineStr">
        <is>
          <t>Feb</t>
        </is>
      </c>
      <c r="E77" s="7">
        <f>Monthly_Estimates!D11</f>
        <v/>
      </c>
      <c r="F77" s="24">
        <f>E77/1000</f>
        <v/>
      </c>
      <c r="G77" s="11">
        <f>Monthly_Estimates!B11</f>
        <v/>
      </c>
      <c r="H77" s="6">
        <f>CHOOSE(Assumptions!$B$5,"Observed provincial profile + windows","Pooled profile + windows","Linear arithmetic")</f>
        <v/>
      </c>
      <c r="I77" s="6" t="inlineStr">
        <is>
          <t>Medium–High</t>
        </is>
      </c>
    </row>
    <row r="78">
      <c r="A78" s="6" t="inlineStr">
        <is>
          <t>San Fabian</t>
        </is>
      </c>
      <c r="B78" s="6" t="n">
        <v>2024</v>
      </c>
      <c r="C78" s="6" t="n">
        <v>3</v>
      </c>
      <c r="D78" s="6" t="inlineStr">
        <is>
          <t>Mar</t>
        </is>
      </c>
      <c r="E78" s="7">
        <f>Monthly_Estimates!E11</f>
        <v/>
      </c>
      <c r="F78" s="24">
        <f>E78/1000</f>
        <v/>
      </c>
      <c r="G78" s="11">
        <f>Monthly_Estimates!B11</f>
        <v/>
      </c>
      <c r="H78" s="6">
        <f>CHOOSE(Assumptions!$B$5,"Observed provincial profile + windows","Pooled profile + windows","Linear arithmetic")</f>
        <v/>
      </c>
      <c r="I78" s="6" t="inlineStr">
        <is>
          <t>Medium–High</t>
        </is>
      </c>
    </row>
    <row r="79">
      <c r="A79" s="6" t="inlineStr">
        <is>
          <t>San Fabian</t>
        </is>
      </c>
      <c r="B79" s="6" t="n">
        <v>2024</v>
      </c>
      <c r="C79" s="6" t="n">
        <v>4</v>
      </c>
      <c r="D79" s="6" t="inlineStr">
        <is>
          <t>Apr</t>
        </is>
      </c>
      <c r="E79" s="7">
        <f>Monthly_Estimates!F11</f>
        <v/>
      </c>
      <c r="F79" s="24">
        <f>E79/1000</f>
        <v/>
      </c>
      <c r="G79" s="11">
        <f>Monthly_Estimates!B11</f>
        <v/>
      </c>
      <c r="H79" s="6">
        <f>CHOOSE(Assumptions!$B$5,"Observed provincial profile + windows","Pooled profile + windows","Linear arithmetic")</f>
        <v/>
      </c>
      <c r="I79" s="6" t="inlineStr">
        <is>
          <t>Medium–High</t>
        </is>
      </c>
    </row>
    <row r="80">
      <c r="A80" s="6" t="inlineStr">
        <is>
          <t>San Fabian</t>
        </is>
      </c>
      <c r="B80" s="6" t="n">
        <v>2024</v>
      </c>
      <c r="C80" s="6" t="n">
        <v>5</v>
      </c>
      <c r="D80" s="6" t="inlineStr">
        <is>
          <t>May</t>
        </is>
      </c>
      <c r="E80" s="7">
        <f>Monthly_Estimates!G11</f>
        <v/>
      </c>
      <c r="F80" s="24">
        <f>E80/1000</f>
        <v/>
      </c>
      <c r="G80" s="11">
        <f>Monthly_Estimates!B11</f>
        <v/>
      </c>
      <c r="H80" s="6">
        <f>CHOOSE(Assumptions!$B$5,"Observed provincial profile + windows","Pooled profile + windows","Linear arithmetic")</f>
        <v/>
      </c>
      <c r="I80" s="6" t="inlineStr">
        <is>
          <t>Medium–High</t>
        </is>
      </c>
    </row>
    <row r="81">
      <c r="A81" s="6" t="inlineStr">
        <is>
          <t>San Fabian</t>
        </is>
      </c>
      <c r="B81" s="6" t="n">
        <v>2024</v>
      </c>
      <c r="C81" s="6" t="n">
        <v>6</v>
      </c>
      <c r="D81" s="6" t="inlineStr">
        <is>
          <t>Jun</t>
        </is>
      </c>
      <c r="E81" s="7">
        <f>Monthly_Estimates!H11</f>
        <v/>
      </c>
      <c r="F81" s="24">
        <f>E81/1000</f>
        <v/>
      </c>
      <c r="G81" s="11">
        <f>Monthly_Estimates!B11</f>
        <v/>
      </c>
      <c r="H81" s="6">
        <f>CHOOSE(Assumptions!$B$5,"Observed provincial profile + windows","Pooled profile + windows","Linear arithmetic")</f>
        <v/>
      </c>
      <c r="I81" s="6" t="inlineStr">
        <is>
          <t>Medium–High</t>
        </is>
      </c>
    </row>
    <row r="82">
      <c r="A82" s="6" t="inlineStr">
        <is>
          <t>San Fabian</t>
        </is>
      </c>
      <c r="B82" s="6" t="n">
        <v>2024</v>
      </c>
      <c r="C82" s="6" t="n">
        <v>7</v>
      </c>
      <c r="D82" s="6" t="inlineStr">
        <is>
          <t>Jul</t>
        </is>
      </c>
      <c r="E82" s="7">
        <f>Monthly_Estimates!I11</f>
        <v/>
      </c>
      <c r="F82" s="24">
        <f>E82/1000</f>
        <v/>
      </c>
      <c r="G82" s="11">
        <f>Monthly_Estimates!B11</f>
        <v/>
      </c>
      <c r="H82" s="6">
        <f>CHOOSE(Assumptions!$B$5,"Observed provincial profile + windows","Pooled profile + windows","Linear arithmetic")</f>
        <v/>
      </c>
      <c r="I82" s="6" t="inlineStr">
        <is>
          <t>Medium–High</t>
        </is>
      </c>
    </row>
    <row r="83">
      <c r="A83" s="6" t="inlineStr">
        <is>
          <t>San Fabian</t>
        </is>
      </c>
      <c r="B83" s="6" t="n">
        <v>2024</v>
      </c>
      <c r="C83" s="6" t="n">
        <v>8</v>
      </c>
      <c r="D83" s="6" t="inlineStr">
        <is>
          <t>Aug</t>
        </is>
      </c>
      <c r="E83" s="7">
        <f>Monthly_Estimates!J11</f>
        <v/>
      </c>
      <c r="F83" s="24">
        <f>E83/1000</f>
        <v/>
      </c>
      <c r="G83" s="11">
        <f>Monthly_Estimates!B11</f>
        <v/>
      </c>
      <c r="H83" s="6">
        <f>CHOOSE(Assumptions!$B$5,"Observed provincial profile + windows","Pooled profile + windows","Linear arithmetic")</f>
        <v/>
      </c>
      <c r="I83" s="6" t="inlineStr">
        <is>
          <t>Medium–High</t>
        </is>
      </c>
    </row>
    <row r="84">
      <c r="A84" s="6" t="inlineStr">
        <is>
          <t>San Fabian</t>
        </is>
      </c>
      <c r="B84" s="6" t="n">
        <v>2024</v>
      </c>
      <c r="C84" s="6" t="n">
        <v>9</v>
      </c>
      <c r="D84" s="6" t="inlineStr">
        <is>
          <t>Sep</t>
        </is>
      </c>
      <c r="E84" s="7">
        <f>Monthly_Estimates!K11</f>
        <v/>
      </c>
      <c r="F84" s="24">
        <f>E84/1000</f>
        <v/>
      </c>
      <c r="G84" s="11">
        <f>Monthly_Estimates!B11</f>
        <v/>
      </c>
      <c r="H84" s="6">
        <f>CHOOSE(Assumptions!$B$5,"Observed provincial profile + windows","Pooled profile + windows","Linear arithmetic")</f>
        <v/>
      </c>
      <c r="I84" s="6" t="inlineStr">
        <is>
          <t>Medium–High</t>
        </is>
      </c>
    </row>
    <row r="85">
      <c r="A85" s="6" t="inlineStr">
        <is>
          <t>San Fabian</t>
        </is>
      </c>
      <c r="B85" s="6" t="n">
        <v>2024</v>
      </c>
      <c r="C85" s="6" t="n">
        <v>10</v>
      </c>
      <c r="D85" s="6" t="inlineStr">
        <is>
          <t>Oct</t>
        </is>
      </c>
      <c r="E85" s="7">
        <f>Monthly_Estimates!L11</f>
        <v/>
      </c>
      <c r="F85" s="24">
        <f>E85/1000</f>
        <v/>
      </c>
      <c r="G85" s="11">
        <f>Monthly_Estimates!B11</f>
        <v/>
      </c>
      <c r="H85" s="6">
        <f>CHOOSE(Assumptions!$B$5,"Observed provincial profile + windows","Pooled profile + windows","Linear arithmetic")</f>
        <v/>
      </c>
      <c r="I85" s="6" t="inlineStr">
        <is>
          <t>Medium–High</t>
        </is>
      </c>
    </row>
    <row r="86">
      <c r="A86" s="6" t="inlineStr">
        <is>
          <t>San Fabian</t>
        </is>
      </c>
      <c r="B86" s="6" t="n">
        <v>2024</v>
      </c>
      <c r="C86" s="6" t="n">
        <v>11</v>
      </c>
      <c r="D86" s="6" t="inlineStr">
        <is>
          <t>Nov</t>
        </is>
      </c>
      <c r="E86" s="7">
        <f>Monthly_Estimates!M11</f>
        <v/>
      </c>
      <c r="F86" s="24">
        <f>E86/1000</f>
        <v/>
      </c>
      <c r="G86" s="11">
        <f>Monthly_Estimates!B11</f>
        <v/>
      </c>
      <c r="H86" s="6">
        <f>CHOOSE(Assumptions!$B$5,"Observed provincial profile + windows","Pooled profile + windows","Linear arithmetic")</f>
        <v/>
      </c>
      <c r="I86" s="6" t="inlineStr">
        <is>
          <t>Medium–High</t>
        </is>
      </c>
    </row>
    <row r="87">
      <c r="A87" s="6" t="inlineStr">
        <is>
          <t>San Fabian</t>
        </is>
      </c>
      <c r="B87" s="6" t="n">
        <v>2024</v>
      </c>
      <c r="C87" s="6" t="n">
        <v>12</v>
      </c>
      <c r="D87" s="6" t="inlineStr">
        <is>
          <t>Dec</t>
        </is>
      </c>
      <c r="E87" s="7">
        <f>Monthly_Estimates!N11</f>
        <v/>
      </c>
      <c r="F87" s="24">
        <f>E87/1000</f>
        <v/>
      </c>
      <c r="G87" s="11">
        <f>Monthly_Estimates!B11</f>
        <v/>
      </c>
      <c r="H87" s="6">
        <f>CHOOSE(Assumptions!$B$5,"Observed provincial profile + windows","Pooled profile + windows","Linear arithmetic")</f>
        <v/>
      </c>
      <c r="I87" s="6" t="inlineStr">
        <is>
          <t>Medium–High</t>
        </is>
      </c>
    </row>
    <row r="88">
      <c r="A88" s="6" t="inlineStr">
        <is>
          <t>Alaminos City</t>
        </is>
      </c>
      <c r="B88" s="6" t="n">
        <v>2025</v>
      </c>
      <c r="C88" s="6" t="n">
        <v>1</v>
      </c>
      <c r="D88" s="6" t="inlineStr">
        <is>
          <t>Jan</t>
        </is>
      </c>
      <c r="E88" s="7">
        <f>Monthly_Estimates!C19</f>
        <v/>
      </c>
      <c r="F88" s="24">
        <f>E88/1000</f>
        <v/>
      </c>
      <c r="G88" s="11">
        <f>Monthly_Estimates!B19</f>
        <v/>
      </c>
      <c r="H88" s="6">
        <f>CHOOSE(Assumptions!$B$5,"Observed provincial profile + windows","Pooled profile + windows","Linear arithmetic")</f>
        <v/>
      </c>
      <c r="I88" s="6" t="inlineStr">
        <is>
          <t>Medium–High (primary rate within 3% of FOI)</t>
        </is>
      </c>
    </row>
    <row r="89">
      <c r="A89" s="6" t="inlineStr">
        <is>
          <t>Alaminos City</t>
        </is>
      </c>
      <c r="B89" s="6" t="n">
        <v>2025</v>
      </c>
      <c r="C89" s="6" t="n">
        <v>2</v>
      </c>
      <c r="D89" s="6" t="inlineStr">
        <is>
          <t>Feb</t>
        </is>
      </c>
      <c r="E89" s="7">
        <f>Monthly_Estimates!D19</f>
        <v/>
      </c>
      <c r="F89" s="24">
        <f>E89/1000</f>
        <v/>
      </c>
      <c r="G89" s="11">
        <f>Monthly_Estimates!B19</f>
        <v/>
      </c>
      <c r="H89" s="6">
        <f>CHOOSE(Assumptions!$B$5,"Observed provincial profile + windows","Pooled profile + windows","Linear arithmetic")</f>
        <v/>
      </c>
      <c r="I89" s="6" t="inlineStr">
        <is>
          <t>Medium–High (primary rate within 3% of FOI)</t>
        </is>
      </c>
    </row>
    <row r="90">
      <c r="A90" s="6" t="inlineStr">
        <is>
          <t>Alaminos City</t>
        </is>
      </c>
      <c r="B90" s="6" t="n">
        <v>2025</v>
      </c>
      <c r="C90" s="6" t="n">
        <v>3</v>
      </c>
      <c r="D90" s="6" t="inlineStr">
        <is>
          <t>Mar</t>
        </is>
      </c>
      <c r="E90" s="7">
        <f>Monthly_Estimates!E19</f>
        <v/>
      </c>
      <c r="F90" s="24">
        <f>E90/1000</f>
        <v/>
      </c>
      <c r="G90" s="11">
        <f>Monthly_Estimates!B19</f>
        <v/>
      </c>
      <c r="H90" s="6">
        <f>CHOOSE(Assumptions!$B$5,"Observed provincial profile + windows","Pooled profile + windows","Linear arithmetic")</f>
        <v/>
      </c>
      <c r="I90" s="6" t="inlineStr">
        <is>
          <t>Medium–High (primary rate within 3% of FOI)</t>
        </is>
      </c>
    </row>
    <row r="91">
      <c r="A91" s="6" t="inlineStr">
        <is>
          <t>Alaminos City</t>
        </is>
      </c>
      <c r="B91" s="6" t="n">
        <v>2025</v>
      </c>
      <c r="C91" s="6" t="n">
        <v>4</v>
      </c>
      <c r="D91" s="6" t="inlineStr">
        <is>
          <t>Apr</t>
        </is>
      </c>
      <c r="E91" s="7">
        <f>Monthly_Estimates!F19</f>
        <v/>
      </c>
      <c r="F91" s="24">
        <f>E91/1000</f>
        <v/>
      </c>
      <c r="G91" s="11">
        <f>Monthly_Estimates!B19</f>
        <v/>
      </c>
      <c r="H91" s="6">
        <f>CHOOSE(Assumptions!$B$5,"Observed provincial profile + windows","Pooled profile + windows","Linear arithmetic")</f>
        <v/>
      </c>
      <c r="I91" s="6" t="inlineStr">
        <is>
          <t>Medium–High (primary rate within 3% of FOI)</t>
        </is>
      </c>
    </row>
    <row r="92">
      <c r="A92" s="6" t="inlineStr">
        <is>
          <t>Alaminos City</t>
        </is>
      </c>
      <c r="B92" s="6" t="n">
        <v>2025</v>
      </c>
      <c r="C92" s="6" t="n">
        <v>5</v>
      </c>
      <c r="D92" s="6" t="inlineStr">
        <is>
          <t>May</t>
        </is>
      </c>
      <c r="E92" s="7">
        <f>Monthly_Estimates!G19</f>
        <v/>
      </c>
      <c r="F92" s="24">
        <f>E92/1000</f>
        <v/>
      </c>
      <c r="G92" s="11">
        <f>Monthly_Estimates!B19</f>
        <v/>
      </c>
      <c r="H92" s="6">
        <f>CHOOSE(Assumptions!$B$5,"Observed provincial profile + windows","Pooled profile + windows","Linear arithmetic")</f>
        <v/>
      </c>
      <c r="I92" s="6" t="inlineStr">
        <is>
          <t>Medium–High (primary rate within 3% of FOI)</t>
        </is>
      </c>
    </row>
    <row r="93">
      <c r="A93" s="6" t="inlineStr">
        <is>
          <t>Alaminos City</t>
        </is>
      </c>
      <c r="B93" s="6" t="n">
        <v>2025</v>
      </c>
      <c r="C93" s="6" t="n">
        <v>6</v>
      </c>
      <c r="D93" s="6" t="inlineStr">
        <is>
          <t>Jun</t>
        </is>
      </c>
      <c r="E93" s="7">
        <f>Monthly_Estimates!H19</f>
        <v/>
      </c>
      <c r="F93" s="24">
        <f>E93/1000</f>
        <v/>
      </c>
      <c r="G93" s="11">
        <f>Monthly_Estimates!B19</f>
        <v/>
      </c>
      <c r="H93" s="6">
        <f>CHOOSE(Assumptions!$B$5,"Observed provincial profile + windows","Pooled profile + windows","Linear arithmetic")</f>
        <v/>
      </c>
      <c r="I93" s="6" t="inlineStr">
        <is>
          <t>Medium–High (primary rate within 3% of FOI)</t>
        </is>
      </c>
    </row>
    <row r="94">
      <c r="A94" s="6" t="inlineStr">
        <is>
          <t>Alaminos City</t>
        </is>
      </c>
      <c r="B94" s="6" t="n">
        <v>2025</v>
      </c>
      <c r="C94" s="6" t="n">
        <v>7</v>
      </c>
      <c r="D94" s="6" t="inlineStr">
        <is>
          <t>Jul</t>
        </is>
      </c>
      <c r="E94" s="7">
        <f>Monthly_Estimates!I19</f>
        <v/>
      </c>
      <c r="F94" s="24">
        <f>E94/1000</f>
        <v/>
      </c>
      <c r="G94" s="11">
        <f>Monthly_Estimates!B19</f>
        <v/>
      </c>
      <c r="H94" s="6">
        <f>CHOOSE(Assumptions!$B$5,"Observed provincial profile + windows","Pooled profile + windows","Linear arithmetic")</f>
        <v/>
      </c>
      <c r="I94" s="6" t="inlineStr">
        <is>
          <t>Medium–High (primary rate within 3% of FOI)</t>
        </is>
      </c>
    </row>
    <row r="95">
      <c r="A95" s="6" t="inlineStr">
        <is>
          <t>Alaminos City</t>
        </is>
      </c>
      <c r="B95" s="6" t="n">
        <v>2025</v>
      </c>
      <c r="C95" s="6" t="n">
        <v>8</v>
      </c>
      <c r="D95" s="6" t="inlineStr">
        <is>
          <t>Aug</t>
        </is>
      </c>
      <c r="E95" s="7">
        <f>Monthly_Estimates!J19</f>
        <v/>
      </c>
      <c r="F95" s="24">
        <f>E95/1000</f>
        <v/>
      </c>
      <c r="G95" s="11">
        <f>Monthly_Estimates!B19</f>
        <v/>
      </c>
      <c r="H95" s="6">
        <f>CHOOSE(Assumptions!$B$5,"Observed provincial profile + windows","Pooled profile + windows","Linear arithmetic")</f>
        <v/>
      </c>
      <c r="I95" s="6" t="inlineStr">
        <is>
          <t>Medium–High (primary rate within 3% of FOI)</t>
        </is>
      </c>
    </row>
    <row r="96">
      <c r="A96" s="6" t="inlineStr">
        <is>
          <t>Alaminos City</t>
        </is>
      </c>
      <c r="B96" s="6" t="n">
        <v>2025</v>
      </c>
      <c r="C96" s="6" t="n">
        <v>9</v>
      </c>
      <c r="D96" s="6" t="inlineStr">
        <is>
          <t>Sep</t>
        </is>
      </c>
      <c r="E96" s="7">
        <f>Monthly_Estimates!K19</f>
        <v/>
      </c>
      <c r="F96" s="24">
        <f>E96/1000</f>
        <v/>
      </c>
      <c r="G96" s="11">
        <f>Monthly_Estimates!B19</f>
        <v/>
      </c>
      <c r="H96" s="6">
        <f>CHOOSE(Assumptions!$B$5,"Observed provincial profile + windows","Pooled profile + windows","Linear arithmetic")</f>
        <v/>
      </c>
      <c r="I96" s="6" t="inlineStr">
        <is>
          <t>Medium–High (primary rate within 3% of FOI)</t>
        </is>
      </c>
    </row>
    <row r="97">
      <c r="A97" s="6" t="inlineStr">
        <is>
          <t>Alaminos City</t>
        </is>
      </c>
      <c r="B97" s="6" t="n">
        <v>2025</v>
      </c>
      <c r="C97" s="6" t="n">
        <v>10</v>
      </c>
      <c r="D97" s="6" t="inlineStr">
        <is>
          <t>Oct</t>
        </is>
      </c>
      <c r="E97" s="7">
        <f>Monthly_Estimates!L19</f>
        <v/>
      </c>
      <c r="F97" s="24">
        <f>E97/1000</f>
        <v/>
      </c>
      <c r="G97" s="11">
        <f>Monthly_Estimates!B19</f>
        <v/>
      </c>
      <c r="H97" s="6">
        <f>CHOOSE(Assumptions!$B$5,"Observed provincial profile + windows","Pooled profile + windows","Linear arithmetic")</f>
        <v/>
      </c>
      <c r="I97" s="6" t="inlineStr">
        <is>
          <t>Medium–High (primary rate within 3% of FOI)</t>
        </is>
      </c>
    </row>
    <row r="98">
      <c r="A98" s="6" t="inlineStr">
        <is>
          <t>Alaminos City</t>
        </is>
      </c>
      <c r="B98" s="6" t="n">
        <v>2025</v>
      </c>
      <c r="C98" s="6" t="n">
        <v>11</v>
      </c>
      <c r="D98" s="6" t="inlineStr">
        <is>
          <t>Nov</t>
        </is>
      </c>
      <c r="E98" s="7">
        <f>Monthly_Estimates!M19</f>
        <v/>
      </c>
      <c r="F98" s="24">
        <f>E98/1000</f>
        <v/>
      </c>
      <c r="G98" s="11">
        <f>Monthly_Estimates!B19</f>
        <v/>
      </c>
      <c r="H98" s="6">
        <f>CHOOSE(Assumptions!$B$5,"Observed provincial profile + windows","Pooled profile + windows","Linear arithmetic")</f>
        <v/>
      </c>
      <c r="I98" s="6" t="inlineStr">
        <is>
          <t>Medium–High (primary rate within 3% of FOI)</t>
        </is>
      </c>
    </row>
    <row r="99">
      <c r="A99" s="6" t="inlineStr">
        <is>
          <t>Alaminos City</t>
        </is>
      </c>
      <c r="B99" s="6" t="n">
        <v>2025</v>
      </c>
      <c r="C99" s="6" t="n">
        <v>12</v>
      </c>
      <c r="D99" s="6" t="inlineStr">
        <is>
          <t>Dec</t>
        </is>
      </c>
      <c r="E99" s="7">
        <f>Monthly_Estimates!N19</f>
        <v/>
      </c>
      <c r="F99" s="24">
        <f>E99/1000</f>
        <v/>
      </c>
      <c r="G99" s="11">
        <f>Monthly_Estimates!B19</f>
        <v/>
      </c>
      <c r="H99" s="6">
        <f>CHOOSE(Assumptions!$B$5,"Observed provincial profile + windows","Pooled profile + windows","Linear arithmetic")</f>
        <v/>
      </c>
      <c r="I99" s="6" t="inlineStr">
        <is>
          <t>Medium–High (primary rate within 3% of FOI)</t>
        </is>
      </c>
    </row>
    <row r="100">
      <c r="A100" s="6" t="inlineStr">
        <is>
          <t>Anda</t>
        </is>
      </c>
      <c r="B100" s="6" t="n">
        <v>2025</v>
      </c>
      <c r="C100" s="6" t="n">
        <v>1</v>
      </c>
      <c r="D100" s="6" t="inlineStr">
        <is>
          <t>Jan</t>
        </is>
      </c>
      <c r="E100" s="7">
        <f>Monthly_Estimates!C20</f>
        <v/>
      </c>
      <c r="F100" s="24">
        <f>E100/1000</f>
        <v/>
      </c>
      <c r="G100" s="11">
        <f>Monthly_Estimates!B20</f>
        <v/>
      </c>
      <c r="H100" s="6">
        <f>CHOOSE(Assumptions!$B$5,"Observed provincial profile + windows","Pooled profile + windows","Linear arithmetic")</f>
        <v/>
      </c>
      <c r="I100" s="6" t="inlineStr">
        <is>
          <t>Low–Medium</t>
        </is>
      </c>
    </row>
    <row r="101">
      <c r="A101" s="6" t="inlineStr">
        <is>
          <t>Anda</t>
        </is>
      </c>
      <c r="B101" s="6" t="n">
        <v>2025</v>
      </c>
      <c r="C101" s="6" t="n">
        <v>2</v>
      </c>
      <c r="D101" s="6" t="inlineStr">
        <is>
          <t>Feb</t>
        </is>
      </c>
      <c r="E101" s="7">
        <f>Monthly_Estimates!D20</f>
        <v/>
      </c>
      <c r="F101" s="24">
        <f>E101/1000</f>
        <v/>
      </c>
      <c r="G101" s="11">
        <f>Monthly_Estimates!B20</f>
        <v/>
      </c>
      <c r="H101" s="6">
        <f>CHOOSE(Assumptions!$B$5,"Observed provincial profile + windows","Pooled profile + windows","Linear arithmetic")</f>
        <v/>
      </c>
      <c r="I101" s="6" t="inlineStr">
        <is>
          <t>Low–Medium</t>
        </is>
      </c>
    </row>
    <row r="102">
      <c r="A102" s="6" t="inlineStr">
        <is>
          <t>Anda</t>
        </is>
      </c>
      <c r="B102" s="6" t="n">
        <v>2025</v>
      </c>
      <c r="C102" s="6" t="n">
        <v>3</v>
      </c>
      <c r="D102" s="6" t="inlineStr">
        <is>
          <t>Mar</t>
        </is>
      </c>
      <c r="E102" s="7">
        <f>Monthly_Estimates!E20</f>
        <v/>
      </c>
      <c r="F102" s="24">
        <f>E102/1000</f>
        <v/>
      </c>
      <c r="G102" s="11">
        <f>Monthly_Estimates!B20</f>
        <v/>
      </c>
      <c r="H102" s="6">
        <f>CHOOSE(Assumptions!$B$5,"Observed provincial profile + windows","Pooled profile + windows","Linear arithmetic")</f>
        <v/>
      </c>
      <c r="I102" s="6" t="inlineStr">
        <is>
          <t>Low–Medium</t>
        </is>
      </c>
    </row>
    <row r="103">
      <c r="A103" s="6" t="inlineStr">
        <is>
          <t>Anda</t>
        </is>
      </c>
      <c r="B103" s="6" t="n">
        <v>2025</v>
      </c>
      <c r="C103" s="6" t="n">
        <v>4</v>
      </c>
      <c r="D103" s="6" t="inlineStr">
        <is>
          <t>Apr</t>
        </is>
      </c>
      <c r="E103" s="7">
        <f>Monthly_Estimates!F20</f>
        <v/>
      </c>
      <c r="F103" s="24">
        <f>E103/1000</f>
        <v/>
      </c>
      <c r="G103" s="11">
        <f>Monthly_Estimates!B20</f>
        <v/>
      </c>
      <c r="H103" s="6">
        <f>CHOOSE(Assumptions!$B$5,"Observed provincial profile + windows","Pooled profile + windows","Linear arithmetic")</f>
        <v/>
      </c>
      <c r="I103" s="6" t="inlineStr">
        <is>
          <t>Low–Medium</t>
        </is>
      </c>
    </row>
    <row r="104">
      <c r="A104" s="6" t="inlineStr">
        <is>
          <t>Anda</t>
        </is>
      </c>
      <c r="B104" s="6" t="n">
        <v>2025</v>
      </c>
      <c r="C104" s="6" t="n">
        <v>5</v>
      </c>
      <c r="D104" s="6" t="inlineStr">
        <is>
          <t>May</t>
        </is>
      </c>
      <c r="E104" s="7">
        <f>Monthly_Estimates!G20</f>
        <v/>
      </c>
      <c r="F104" s="24">
        <f>E104/1000</f>
        <v/>
      </c>
      <c r="G104" s="11">
        <f>Monthly_Estimates!B20</f>
        <v/>
      </c>
      <c r="H104" s="6">
        <f>CHOOSE(Assumptions!$B$5,"Observed provincial profile + windows","Pooled profile + windows","Linear arithmetic")</f>
        <v/>
      </c>
      <c r="I104" s="6" t="inlineStr">
        <is>
          <t>Low–Medium</t>
        </is>
      </c>
    </row>
    <row r="105">
      <c r="A105" s="6" t="inlineStr">
        <is>
          <t>Anda</t>
        </is>
      </c>
      <c r="B105" s="6" t="n">
        <v>2025</v>
      </c>
      <c r="C105" s="6" t="n">
        <v>6</v>
      </c>
      <c r="D105" s="6" t="inlineStr">
        <is>
          <t>Jun</t>
        </is>
      </c>
      <c r="E105" s="7">
        <f>Monthly_Estimates!H20</f>
        <v/>
      </c>
      <c r="F105" s="24">
        <f>E105/1000</f>
        <v/>
      </c>
      <c r="G105" s="11">
        <f>Monthly_Estimates!B20</f>
        <v/>
      </c>
      <c r="H105" s="6">
        <f>CHOOSE(Assumptions!$B$5,"Observed provincial profile + windows","Pooled profile + windows","Linear arithmetic")</f>
        <v/>
      </c>
      <c r="I105" s="6" t="inlineStr">
        <is>
          <t>Low–Medium</t>
        </is>
      </c>
    </row>
    <row r="106">
      <c r="A106" s="6" t="inlineStr">
        <is>
          <t>Anda</t>
        </is>
      </c>
      <c r="B106" s="6" t="n">
        <v>2025</v>
      </c>
      <c r="C106" s="6" t="n">
        <v>7</v>
      </c>
      <c r="D106" s="6" t="inlineStr">
        <is>
          <t>Jul</t>
        </is>
      </c>
      <c r="E106" s="7">
        <f>Monthly_Estimates!I20</f>
        <v/>
      </c>
      <c r="F106" s="24">
        <f>E106/1000</f>
        <v/>
      </c>
      <c r="G106" s="11">
        <f>Monthly_Estimates!B20</f>
        <v/>
      </c>
      <c r="H106" s="6">
        <f>CHOOSE(Assumptions!$B$5,"Observed provincial profile + windows","Pooled profile + windows","Linear arithmetic")</f>
        <v/>
      </c>
      <c r="I106" s="6" t="inlineStr">
        <is>
          <t>Low–Medium</t>
        </is>
      </c>
    </row>
    <row r="107">
      <c r="A107" s="6" t="inlineStr">
        <is>
          <t>Anda</t>
        </is>
      </c>
      <c r="B107" s="6" t="n">
        <v>2025</v>
      </c>
      <c r="C107" s="6" t="n">
        <v>8</v>
      </c>
      <c r="D107" s="6" t="inlineStr">
        <is>
          <t>Aug</t>
        </is>
      </c>
      <c r="E107" s="7">
        <f>Monthly_Estimates!J20</f>
        <v/>
      </c>
      <c r="F107" s="24">
        <f>E107/1000</f>
        <v/>
      </c>
      <c r="G107" s="11">
        <f>Monthly_Estimates!B20</f>
        <v/>
      </c>
      <c r="H107" s="6">
        <f>CHOOSE(Assumptions!$B$5,"Observed provincial profile + windows","Pooled profile + windows","Linear arithmetic")</f>
        <v/>
      </c>
      <c r="I107" s="6" t="inlineStr">
        <is>
          <t>Low–Medium</t>
        </is>
      </c>
    </row>
    <row r="108">
      <c r="A108" s="6" t="inlineStr">
        <is>
          <t>Anda</t>
        </is>
      </c>
      <c r="B108" s="6" t="n">
        <v>2025</v>
      </c>
      <c r="C108" s="6" t="n">
        <v>9</v>
      </c>
      <c r="D108" s="6" t="inlineStr">
        <is>
          <t>Sep</t>
        </is>
      </c>
      <c r="E108" s="7">
        <f>Monthly_Estimates!K20</f>
        <v/>
      </c>
      <c r="F108" s="24">
        <f>E108/1000</f>
        <v/>
      </c>
      <c r="G108" s="11">
        <f>Monthly_Estimates!B20</f>
        <v/>
      </c>
      <c r="H108" s="6">
        <f>CHOOSE(Assumptions!$B$5,"Observed provincial profile + windows","Pooled profile + windows","Linear arithmetic")</f>
        <v/>
      </c>
      <c r="I108" s="6" t="inlineStr">
        <is>
          <t>Low–Medium</t>
        </is>
      </c>
    </row>
    <row r="109">
      <c r="A109" s="6" t="inlineStr">
        <is>
          <t>Anda</t>
        </is>
      </c>
      <c r="B109" s="6" t="n">
        <v>2025</v>
      </c>
      <c r="C109" s="6" t="n">
        <v>10</v>
      </c>
      <c r="D109" s="6" t="inlineStr">
        <is>
          <t>Oct</t>
        </is>
      </c>
      <c r="E109" s="7">
        <f>Monthly_Estimates!L20</f>
        <v/>
      </c>
      <c r="F109" s="24">
        <f>E109/1000</f>
        <v/>
      </c>
      <c r="G109" s="11">
        <f>Monthly_Estimates!B20</f>
        <v/>
      </c>
      <c r="H109" s="6">
        <f>CHOOSE(Assumptions!$B$5,"Observed provincial profile + windows","Pooled profile + windows","Linear arithmetic")</f>
        <v/>
      </c>
      <c r="I109" s="6" t="inlineStr">
        <is>
          <t>Low–Medium</t>
        </is>
      </c>
    </row>
    <row r="110">
      <c r="A110" s="6" t="inlineStr">
        <is>
          <t>Anda</t>
        </is>
      </c>
      <c r="B110" s="6" t="n">
        <v>2025</v>
      </c>
      <c r="C110" s="6" t="n">
        <v>11</v>
      </c>
      <c r="D110" s="6" t="inlineStr">
        <is>
          <t>Nov</t>
        </is>
      </c>
      <c r="E110" s="7">
        <f>Monthly_Estimates!M20</f>
        <v/>
      </c>
      <c r="F110" s="24">
        <f>E110/1000</f>
        <v/>
      </c>
      <c r="G110" s="11">
        <f>Monthly_Estimates!B20</f>
        <v/>
      </c>
      <c r="H110" s="6">
        <f>CHOOSE(Assumptions!$B$5,"Observed provincial profile + windows","Pooled profile + windows","Linear arithmetic")</f>
        <v/>
      </c>
      <c r="I110" s="6" t="inlineStr">
        <is>
          <t>Low–Medium</t>
        </is>
      </c>
    </row>
    <row r="111">
      <c r="A111" s="6" t="inlineStr">
        <is>
          <t>Anda</t>
        </is>
      </c>
      <c r="B111" s="6" t="n">
        <v>2025</v>
      </c>
      <c r="C111" s="6" t="n">
        <v>12</v>
      </c>
      <c r="D111" s="6" t="inlineStr">
        <is>
          <t>Dec</t>
        </is>
      </c>
      <c r="E111" s="7">
        <f>Monthly_Estimates!N20</f>
        <v/>
      </c>
      <c r="F111" s="24">
        <f>E111/1000</f>
        <v/>
      </c>
      <c r="G111" s="11">
        <f>Monthly_Estimates!B20</f>
        <v/>
      </c>
      <c r="H111" s="6">
        <f>CHOOSE(Assumptions!$B$5,"Observed provincial profile + windows","Pooled profile + windows","Linear arithmetic")</f>
        <v/>
      </c>
      <c r="I111" s="6" t="inlineStr">
        <is>
          <t>Low–Medium</t>
        </is>
      </c>
    </row>
    <row r="112">
      <c r="A112" s="6" t="inlineStr">
        <is>
          <t>Bani</t>
        </is>
      </c>
      <c r="B112" s="6" t="n">
        <v>2025</v>
      </c>
      <c r="C112" s="6" t="n">
        <v>1</v>
      </c>
      <c r="D112" s="6" t="inlineStr">
        <is>
          <t>Jan</t>
        </is>
      </c>
      <c r="E112" s="7">
        <f>Monthly_Estimates!C21</f>
        <v/>
      </c>
      <c r="F112" s="24">
        <f>E112/1000</f>
        <v/>
      </c>
      <c r="G112" s="11">
        <f>Monthly_Estimates!B21</f>
        <v/>
      </c>
      <c r="H112" s="6">
        <f>CHOOSE(Assumptions!$B$5,"Observed provincial profile + windows","Pooled profile + windows","Linear arithmetic")</f>
        <v/>
      </c>
      <c r="I112" s="6" t="inlineStr">
        <is>
          <t>Low–Medium</t>
        </is>
      </c>
    </row>
    <row r="113">
      <c r="A113" s="6" t="inlineStr">
        <is>
          <t>Bani</t>
        </is>
      </c>
      <c r="B113" s="6" t="n">
        <v>2025</v>
      </c>
      <c r="C113" s="6" t="n">
        <v>2</v>
      </c>
      <c r="D113" s="6" t="inlineStr">
        <is>
          <t>Feb</t>
        </is>
      </c>
      <c r="E113" s="7">
        <f>Monthly_Estimates!D21</f>
        <v/>
      </c>
      <c r="F113" s="24">
        <f>E113/1000</f>
        <v/>
      </c>
      <c r="G113" s="11">
        <f>Monthly_Estimates!B21</f>
        <v/>
      </c>
      <c r="H113" s="6">
        <f>CHOOSE(Assumptions!$B$5,"Observed provincial profile + windows","Pooled profile + windows","Linear arithmetic")</f>
        <v/>
      </c>
      <c r="I113" s="6" t="inlineStr">
        <is>
          <t>Low–Medium</t>
        </is>
      </c>
    </row>
    <row r="114">
      <c r="A114" s="6" t="inlineStr">
        <is>
          <t>Bani</t>
        </is>
      </c>
      <c r="B114" s="6" t="n">
        <v>2025</v>
      </c>
      <c r="C114" s="6" t="n">
        <v>3</v>
      </c>
      <c r="D114" s="6" t="inlineStr">
        <is>
          <t>Mar</t>
        </is>
      </c>
      <c r="E114" s="7">
        <f>Monthly_Estimates!E21</f>
        <v/>
      </c>
      <c r="F114" s="24">
        <f>E114/1000</f>
        <v/>
      </c>
      <c r="G114" s="11">
        <f>Monthly_Estimates!B21</f>
        <v/>
      </c>
      <c r="H114" s="6">
        <f>CHOOSE(Assumptions!$B$5,"Observed provincial profile + windows","Pooled profile + windows","Linear arithmetic")</f>
        <v/>
      </c>
      <c r="I114" s="6" t="inlineStr">
        <is>
          <t>Low–Medium</t>
        </is>
      </c>
    </row>
    <row r="115">
      <c r="A115" s="6" t="inlineStr">
        <is>
          <t>Bani</t>
        </is>
      </c>
      <c r="B115" s="6" t="n">
        <v>2025</v>
      </c>
      <c r="C115" s="6" t="n">
        <v>4</v>
      </c>
      <c r="D115" s="6" t="inlineStr">
        <is>
          <t>Apr</t>
        </is>
      </c>
      <c r="E115" s="7">
        <f>Monthly_Estimates!F21</f>
        <v/>
      </c>
      <c r="F115" s="24">
        <f>E115/1000</f>
        <v/>
      </c>
      <c r="G115" s="11">
        <f>Monthly_Estimates!B21</f>
        <v/>
      </c>
      <c r="H115" s="6">
        <f>CHOOSE(Assumptions!$B$5,"Observed provincial profile + windows","Pooled profile + windows","Linear arithmetic")</f>
        <v/>
      </c>
      <c r="I115" s="6" t="inlineStr">
        <is>
          <t>Low–Medium</t>
        </is>
      </c>
    </row>
    <row r="116">
      <c r="A116" s="6" t="inlineStr">
        <is>
          <t>Bani</t>
        </is>
      </c>
      <c r="B116" s="6" t="n">
        <v>2025</v>
      </c>
      <c r="C116" s="6" t="n">
        <v>5</v>
      </c>
      <c r="D116" s="6" t="inlineStr">
        <is>
          <t>May</t>
        </is>
      </c>
      <c r="E116" s="7">
        <f>Monthly_Estimates!G21</f>
        <v/>
      </c>
      <c r="F116" s="24">
        <f>E116/1000</f>
        <v/>
      </c>
      <c r="G116" s="11">
        <f>Monthly_Estimates!B21</f>
        <v/>
      </c>
      <c r="H116" s="6">
        <f>CHOOSE(Assumptions!$B$5,"Observed provincial profile + windows","Pooled profile + windows","Linear arithmetic")</f>
        <v/>
      </c>
      <c r="I116" s="6" t="inlineStr">
        <is>
          <t>Low–Medium</t>
        </is>
      </c>
    </row>
    <row r="117">
      <c r="A117" s="6" t="inlineStr">
        <is>
          <t>Bani</t>
        </is>
      </c>
      <c r="B117" s="6" t="n">
        <v>2025</v>
      </c>
      <c r="C117" s="6" t="n">
        <v>6</v>
      </c>
      <c r="D117" s="6" t="inlineStr">
        <is>
          <t>Jun</t>
        </is>
      </c>
      <c r="E117" s="7">
        <f>Monthly_Estimates!H21</f>
        <v/>
      </c>
      <c r="F117" s="24">
        <f>E117/1000</f>
        <v/>
      </c>
      <c r="G117" s="11">
        <f>Monthly_Estimates!B21</f>
        <v/>
      </c>
      <c r="H117" s="6">
        <f>CHOOSE(Assumptions!$B$5,"Observed provincial profile + windows","Pooled profile + windows","Linear arithmetic")</f>
        <v/>
      </c>
      <c r="I117" s="6" t="inlineStr">
        <is>
          <t>Low–Medium</t>
        </is>
      </c>
    </row>
    <row r="118">
      <c r="A118" s="6" t="inlineStr">
        <is>
          <t>Bani</t>
        </is>
      </c>
      <c r="B118" s="6" t="n">
        <v>2025</v>
      </c>
      <c r="C118" s="6" t="n">
        <v>7</v>
      </c>
      <c r="D118" s="6" t="inlineStr">
        <is>
          <t>Jul</t>
        </is>
      </c>
      <c r="E118" s="7">
        <f>Monthly_Estimates!I21</f>
        <v/>
      </c>
      <c r="F118" s="24">
        <f>E118/1000</f>
        <v/>
      </c>
      <c r="G118" s="11">
        <f>Monthly_Estimates!B21</f>
        <v/>
      </c>
      <c r="H118" s="6">
        <f>CHOOSE(Assumptions!$B$5,"Observed provincial profile + windows","Pooled profile + windows","Linear arithmetic")</f>
        <v/>
      </c>
      <c r="I118" s="6" t="inlineStr">
        <is>
          <t>Low–Medium</t>
        </is>
      </c>
    </row>
    <row r="119">
      <c r="A119" s="6" t="inlineStr">
        <is>
          <t>Bani</t>
        </is>
      </c>
      <c r="B119" s="6" t="n">
        <v>2025</v>
      </c>
      <c r="C119" s="6" t="n">
        <v>8</v>
      </c>
      <c r="D119" s="6" t="inlineStr">
        <is>
          <t>Aug</t>
        </is>
      </c>
      <c r="E119" s="7">
        <f>Monthly_Estimates!J21</f>
        <v/>
      </c>
      <c r="F119" s="24">
        <f>E119/1000</f>
        <v/>
      </c>
      <c r="G119" s="11">
        <f>Monthly_Estimates!B21</f>
        <v/>
      </c>
      <c r="H119" s="6">
        <f>CHOOSE(Assumptions!$B$5,"Observed provincial profile + windows","Pooled profile + windows","Linear arithmetic")</f>
        <v/>
      </c>
      <c r="I119" s="6" t="inlineStr">
        <is>
          <t>Low–Medium</t>
        </is>
      </c>
    </row>
    <row r="120">
      <c r="A120" s="6" t="inlineStr">
        <is>
          <t>Bani</t>
        </is>
      </c>
      <c r="B120" s="6" t="n">
        <v>2025</v>
      </c>
      <c r="C120" s="6" t="n">
        <v>9</v>
      </c>
      <c r="D120" s="6" t="inlineStr">
        <is>
          <t>Sep</t>
        </is>
      </c>
      <c r="E120" s="7">
        <f>Monthly_Estimates!K21</f>
        <v/>
      </c>
      <c r="F120" s="24">
        <f>E120/1000</f>
        <v/>
      </c>
      <c r="G120" s="11">
        <f>Monthly_Estimates!B21</f>
        <v/>
      </c>
      <c r="H120" s="6">
        <f>CHOOSE(Assumptions!$B$5,"Observed provincial profile + windows","Pooled profile + windows","Linear arithmetic")</f>
        <v/>
      </c>
      <c r="I120" s="6" t="inlineStr">
        <is>
          <t>Low–Medium</t>
        </is>
      </c>
    </row>
    <row r="121">
      <c r="A121" s="6" t="inlineStr">
        <is>
          <t>Bani</t>
        </is>
      </c>
      <c r="B121" s="6" t="n">
        <v>2025</v>
      </c>
      <c r="C121" s="6" t="n">
        <v>10</v>
      </c>
      <c r="D121" s="6" t="inlineStr">
        <is>
          <t>Oct</t>
        </is>
      </c>
      <c r="E121" s="7">
        <f>Monthly_Estimates!L21</f>
        <v/>
      </c>
      <c r="F121" s="24">
        <f>E121/1000</f>
        <v/>
      </c>
      <c r="G121" s="11">
        <f>Monthly_Estimates!B21</f>
        <v/>
      </c>
      <c r="H121" s="6">
        <f>CHOOSE(Assumptions!$B$5,"Observed provincial profile + windows","Pooled profile + windows","Linear arithmetic")</f>
        <v/>
      </c>
      <c r="I121" s="6" t="inlineStr">
        <is>
          <t>Low–Medium</t>
        </is>
      </c>
    </row>
    <row r="122">
      <c r="A122" s="6" t="inlineStr">
        <is>
          <t>Bani</t>
        </is>
      </c>
      <c r="B122" s="6" t="n">
        <v>2025</v>
      </c>
      <c r="C122" s="6" t="n">
        <v>11</v>
      </c>
      <c r="D122" s="6" t="inlineStr">
        <is>
          <t>Nov</t>
        </is>
      </c>
      <c r="E122" s="7">
        <f>Monthly_Estimates!M21</f>
        <v/>
      </c>
      <c r="F122" s="24">
        <f>E122/1000</f>
        <v/>
      </c>
      <c r="G122" s="11">
        <f>Monthly_Estimates!B21</f>
        <v/>
      </c>
      <c r="H122" s="6">
        <f>CHOOSE(Assumptions!$B$5,"Observed provincial profile + windows","Pooled profile + windows","Linear arithmetic")</f>
        <v/>
      </c>
      <c r="I122" s="6" t="inlineStr">
        <is>
          <t>Low–Medium</t>
        </is>
      </c>
    </row>
    <row r="123">
      <c r="A123" s="6" t="inlineStr">
        <is>
          <t>Bani</t>
        </is>
      </c>
      <c r="B123" s="6" t="n">
        <v>2025</v>
      </c>
      <c r="C123" s="6" t="n">
        <v>12</v>
      </c>
      <c r="D123" s="6" t="inlineStr">
        <is>
          <t>Dec</t>
        </is>
      </c>
      <c r="E123" s="7">
        <f>Monthly_Estimates!N21</f>
        <v/>
      </c>
      <c r="F123" s="24">
        <f>E123/1000</f>
        <v/>
      </c>
      <c r="G123" s="11">
        <f>Monthly_Estimates!B21</f>
        <v/>
      </c>
      <c r="H123" s="6">
        <f>CHOOSE(Assumptions!$B$5,"Observed provincial profile + windows","Pooled profile + windows","Linear arithmetic")</f>
        <v/>
      </c>
      <c r="I123" s="6" t="inlineStr">
        <is>
          <t>Low–Medium</t>
        </is>
      </c>
    </row>
    <row r="124">
      <c r="A124" s="6" t="inlineStr">
        <is>
          <t>Bolinao</t>
        </is>
      </c>
      <c r="B124" s="6" t="n">
        <v>2025</v>
      </c>
      <c r="C124" s="6" t="n">
        <v>1</v>
      </c>
      <c r="D124" s="6" t="inlineStr">
        <is>
          <t>Jan</t>
        </is>
      </c>
      <c r="E124" s="7">
        <f>Monthly_Estimates!C22</f>
        <v/>
      </c>
      <c r="F124" s="24">
        <f>E124/1000</f>
        <v/>
      </c>
      <c r="G124" s="11">
        <f>Monthly_Estimates!B22</f>
        <v/>
      </c>
      <c r="H124" s="6">
        <f>CHOOSE(Assumptions!$B$5,"Observed provincial profile + windows","Pooled profile + windows","Linear arithmetic")</f>
        <v/>
      </c>
      <c r="I124" s="6" t="inlineStr">
        <is>
          <t>Low–Medium</t>
        </is>
      </c>
    </row>
    <row r="125">
      <c r="A125" s="6" t="inlineStr">
        <is>
          <t>Bolinao</t>
        </is>
      </c>
      <c r="B125" s="6" t="n">
        <v>2025</v>
      </c>
      <c r="C125" s="6" t="n">
        <v>2</v>
      </c>
      <c r="D125" s="6" t="inlineStr">
        <is>
          <t>Feb</t>
        </is>
      </c>
      <c r="E125" s="7">
        <f>Monthly_Estimates!D22</f>
        <v/>
      </c>
      <c r="F125" s="24">
        <f>E125/1000</f>
        <v/>
      </c>
      <c r="G125" s="11">
        <f>Monthly_Estimates!B22</f>
        <v/>
      </c>
      <c r="H125" s="6">
        <f>CHOOSE(Assumptions!$B$5,"Observed provincial profile + windows","Pooled profile + windows","Linear arithmetic")</f>
        <v/>
      </c>
      <c r="I125" s="6" t="inlineStr">
        <is>
          <t>Low–Medium</t>
        </is>
      </c>
    </row>
    <row r="126">
      <c r="A126" s="6" t="inlineStr">
        <is>
          <t>Bolinao</t>
        </is>
      </c>
      <c r="B126" s="6" t="n">
        <v>2025</v>
      </c>
      <c r="C126" s="6" t="n">
        <v>3</v>
      </c>
      <c r="D126" s="6" t="inlineStr">
        <is>
          <t>Mar</t>
        </is>
      </c>
      <c r="E126" s="7">
        <f>Monthly_Estimates!E22</f>
        <v/>
      </c>
      <c r="F126" s="24">
        <f>E126/1000</f>
        <v/>
      </c>
      <c r="G126" s="11">
        <f>Monthly_Estimates!B22</f>
        <v/>
      </c>
      <c r="H126" s="6">
        <f>CHOOSE(Assumptions!$B$5,"Observed provincial profile + windows","Pooled profile + windows","Linear arithmetic")</f>
        <v/>
      </c>
      <c r="I126" s="6" t="inlineStr">
        <is>
          <t>Low–Medium</t>
        </is>
      </c>
    </row>
    <row r="127">
      <c r="A127" s="6" t="inlineStr">
        <is>
          <t>Bolinao</t>
        </is>
      </c>
      <c r="B127" s="6" t="n">
        <v>2025</v>
      </c>
      <c r="C127" s="6" t="n">
        <v>4</v>
      </c>
      <c r="D127" s="6" t="inlineStr">
        <is>
          <t>Apr</t>
        </is>
      </c>
      <c r="E127" s="7">
        <f>Monthly_Estimates!F22</f>
        <v/>
      </c>
      <c r="F127" s="24">
        <f>E127/1000</f>
        <v/>
      </c>
      <c r="G127" s="11">
        <f>Monthly_Estimates!B22</f>
        <v/>
      </c>
      <c r="H127" s="6">
        <f>CHOOSE(Assumptions!$B$5,"Observed provincial profile + windows","Pooled profile + windows","Linear arithmetic")</f>
        <v/>
      </c>
      <c r="I127" s="6" t="inlineStr">
        <is>
          <t>Low–Medium</t>
        </is>
      </c>
    </row>
    <row r="128">
      <c r="A128" s="6" t="inlineStr">
        <is>
          <t>Bolinao</t>
        </is>
      </c>
      <c r="B128" s="6" t="n">
        <v>2025</v>
      </c>
      <c r="C128" s="6" t="n">
        <v>5</v>
      </c>
      <c r="D128" s="6" t="inlineStr">
        <is>
          <t>May</t>
        </is>
      </c>
      <c r="E128" s="7">
        <f>Monthly_Estimates!G22</f>
        <v/>
      </c>
      <c r="F128" s="24">
        <f>E128/1000</f>
        <v/>
      </c>
      <c r="G128" s="11">
        <f>Monthly_Estimates!B22</f>
        <v/>
      </c>
      <c r="H128" s="6">
        <f>CHOOSE(Assumptions!$B$5,"Observed provincial profile + windows","Pooled profile + windows","Linear arithmetic")</f>
        <v/>
      </c>
      <c r="I128" s="6" t="inlineStr">
        <is>
          <t>Low–Medium</t>
        </is>
      </c>
    </row>
    <row r="129">
      <c r="A129" s="6" t="inlineStr">
        <is>
          <t>Bolinao</t>
        </is>
      </c>
      <c r="B129" s="6" t="n">
        <v>2025</v>
      </c>
      <c r="C129" s="6" t="n">
        <v>6</v>
      </c>
      <c r="D129" s="6" t="inlineStr">
        <is>
          <t>Jun</t>
        </is>
      </c>
      <c r="E129" s="7">
        <f>Monthly_Estimates!H22</f>
        <v/>
      </c>
      <c r="F129" s="24">
        <f>E129/1000</f>
        <v/>
      </c>
      <c r="G129" s="11">
        <f>Monthly_Estimates!B22</f>
        <v/>
      </c>
      <c r="H129" s="6">
        <f>CHOOSE(Assumptions!$B$5,"Observed provincial profile + windows","Pooled profile + windows","Linear arithmetic")</f>
        <v/>
      </c>
      <c r="I129" s="6" t="inlineStr">
        <is>
          <t>Low–Medium</t>
        </is>
      </c>
    </row>
    <row r="130">
      <c r="A130" s="6" t="inlineStr">
        <is>
          <t>Bolinao</t>
        </is>
      </c>
      <c r="B130" s="6" t="n">
        <v>2025</v>
      </c>
      <c r="C130" s="6" t="n">
        <v>7</v>
      </c>
      <c r="D130" s="6" t="inlineStr">
        <is>
          <t>Jul</t>
        </is>
      </c>
      <c r="E130" s="7">
        <f>Monthly_Estimates!I22</f>
        <v/>
      </c>
      <c r="F130" s="24">
        <f>E130/1000</f>
        <v/>
      </c>
      <c r="G130" s="11">
        <f>Monthly_Estimates!B22</f>
        <v/>
      </c>
      <c r="H130" s="6">
        <f>CHOOSE(Assumptions!$B$5,"Observed provincial profile + windows","Pooled profile + windows","Linear arithmetic")</f>
        <v/>
      </c>
      <c r="I130" s="6" t="inlineStr">
        <is>
          <t>Low–Medium</t>
        </is>
      </c>
    </row>
    <row r="131">
      <c r="A131" s="6" t="inlineStr">
        <is>
          <t>Bolinao</t>
        </is>
      </c>
      <c r="B131" s="6" t="n">
        <v>2025</v>
      </c>
      <c r="C131" s="6" t="n">
        <v>8</v>
      </c>
      <c r="D131" s="6" t="inlineStr">
        <is>
          <t>Aug</t>
        </is>
      </c>
      <c r="E131" s="7">
        <f>Monthly_Estimates!J22</f>
        <v/>
      </c>
      <c r="F131" s="24">
        <f>E131/1000</f>
        <v/>
      </c>
      <c r="G131" s="11">
        <f>Monthly_Estimates!B22</f>
        <v/>
      </c>
      <c r="H131" s="6">
        <f>CHOOSE(Assumptions!$B$5,"Observed provincial profile + windows","Pooled profile + windows","Linear arithmetic")</f>
        <v/>
      </c>
      <c r="I131" s="6" t="inlineStr">
        <is>
          <t>Low–Medium</t>
        </is>
      </c>
    </row>
    <row r="132">
      <c r="A132" s="6" t="inlineStr">
        <is>
          <t>Bolinao</t>
        </is>
      </c>
      <c r="B132" s="6" t="n">
        <v>2025</v>
      </c>
      <c r="C132" s="6" t="n">
        <v>9</v>
      </c>
      <c r="D132" s="6" t="inlineStr">
        <is>
          <t>Sep</t>
        </is>
      </c>
      <c r="E132" s="7">
        <f>Monthly_Estimates!K22</f>
        <v/>
      </c>
      <c r="F132" s="24">
        <f>E132/1000</f>
        <v/>
      </c>
      <c r="G132" s="11">
        <f>Monthly_Estimates!B22</f>
        <v/>
      </c>
      <c r="H132" s="6">
        <f>CHOOSE(Assumptions!$B$5,"Observed provincial profile + windows","Pooled profile + windows","Linear arithmetic")</f>
        <v/>
      </c>
      <c r="I132" s="6" t="inlineStr">
        <is>
          <t>Low–Medium</t>
        </is>
      </c>
    </row>
    <row r="133">
      <c r="A133" s="6" t="inlineStr">
        <is>
          <t>Bolinao</t>
        </is>
      </c>
      <c r="B133" s="6" t="n">
        <v>2025</v>
      </c>
      <c r="C133" s="6" t="n">
        <v>10</v>
      </c>
      <c r="D133" s="6" t="inlineStr">
        <is>
          <t>Oct</t>
        </is>
      </c>
      <c r="E133" s="7">
        <f>Monthly_Estimates!L22</f>
        <v/>
      </c>
      <c r="F133" s="24">
        <f>E133/1000</f>
        <v/>
      </c>
      <c r="G133" s="11">
        <f>Monthly_Estimates!B22</f>
        <v/>
      </c>
      <c r="H133" s="6">
        <f>CHOOSE(Assumptions!$B$5,"Observed provincial profile + windows","Pooled profile + windows","Linear arithmetic")</f>
        <v/>
      </c>
      <c r="I133" s="6" t="inlineStr">
        <is>
          <t>Low–Medium</t>
        </is>
      </c>
    </row>
    <row r="134">
      <c r="A134" s="6" t="inlineStr">
        <is>
          <t>Bolinao</t>
        </is>
      </c>
      <c r="B134" s="6" t="n">
        <v>2025</v>
      </c>
      <c r="C134" s="6" t="n">
        <v>11</v>
      </c>
      <c r="D134" s="6" t="inlineStr">
        <is>
          <t>Nov</t>
        </is>
      </c>
      <c r="E134" s="7">
        <f>Monthly_Estimates!M22</f>
        <v/>
      </c>
      <c r="F134" s="24">
        <f>E134/1000</f>
        <v/>
      </c>
      <c r="G134" s="11">
        <f>Monthly_Estimates!B22</f>
        <v/>
      </c>
      <c r="H134" s="6">
        <f>CHOOSE(Assumptions!$B$5,"Observed provincial profile + windows","Pooled profile + windows","Linear arithmetic")</f>
        <v/>
      </c>
      <c r="I134" s="6" t="inlineStr">
        <is>
          <t>Low–Medium</t>
        </is>
      </c>
    </row>
    <row r="135">
      <c r="A135" s="6" t="inlineStr">
        <is>
          <t>Bolinao</t>
        </is>
      </c>
      <c r="B135" s="6" t="n">
        <v>2025</v>
      </c>
      <c r="C135" s="6" t="n">
        <v>12</v>
      </c>
      <c r="D135" s="6" t="inlineStr">
        <is>
          <t>Dec</t>
        </is>
      </c>
      <c r="E135" s="7">
        <f>Monthly_Estimates!N22</f>
        <v/>
      </c>
      <c r="F135" s="24">
        <f>E135/1000</f>
        <v/>
      </c>
      <c r="G135" s="11">
        <f>Monthly_Estimates!B22</f>
        <v/>
      </c>
      <c r="H135" s="6">
        <f>CHOOSE(Assumptions!$B$5,"Observed provincial profile + windows","Pooled profile + windows","Linear arithmetic")</f>
        <v/>
      </c>
      <c r="I135" s="6" t="inlineStr">
        <is>
          <t>Low–Medium</t>
        </is>
      </c>
    </row>
    <row r="136">
      <c r="A136" s="6" t="inlineStr">
        <is>
          <t>Dasol</t>
        </is>
      </c>
      <c r="B136" s="6" t="n">
        <v>2025</v>
      </c>
      <c r="C136" s="6" t="n">
        <v>1</v>
      </c>
      <c r="D136" s="6" t="inlineStr">
        <is>
          <t>Jan</t>
        </is>
      </c>
      <c r="E136" s="7">
        <f>Monthly_Estimates!C23</f>
        <v/>
      </c>
      <c r="F136" s="24">
        <f>E136/1000</f>
        <v/>
      </c>
      <c r="G136" s="11">
        <f>Monthly_Estimates!B23</f>
        <v/>
      </c>
      <c r="H136" s="6">
        <f>CHOOSE(Assumptions!$B$5,"Observed provincial profile + windows","Pooled profile + windows","Linear arithmetic")</f>
        <v/>
      </c>
      <c r="I136" s="6" t="inlineStr">
        <is>
          <t>Low</t>
        </is>
      </c>
    </row>
    <row r="137">
      <c r="A137" s="6" t="inlineStr">
        <is>
          <t>Dasol</t>
        </is>
      </c>
      <c r="B137" s="6" t="n">
        <v>2025</v>
      </c>
      <c r="C137" s="6" t="n">
        <v>2</v>
      </c>
      <c r="D137" s="6" t="inlineStr">
        <is>
          <t>Feb</t>
        </is>
      </c>
      <c r="E137" s="7">
        <f>Monthly_Estimates!D23</f>
        <v/>
      </c>
      <c r="F137" s="24">
        <f>E137/1000</f>
        <v/>
      </c>
      <c r="G137" s="11">
        <f>Monthly_Estimates!B23</f>
        <v/>
      </c>
      <c r="H137" s="6">
        <f>CHOOSE(Assumptions!$B$5,"Observed provincial profile + windows","Pooled profile + windows","Linear arithmetic")</f>
        <v/>
      </c>
      <c r="I137" s="6" t="inlineStr">
        <is>
          <t>Low</t>
        </is>
      </c>
    </row>
    <row r="138">
      <c r="A138" s="6" t="inlineStr">
        <is>
          <t>Dasol</t>
        </is>
      </c>
      <c r="B138" s="6" t="n">
        <v>2025</v>
      </c>
      <c r="C138" s="6" t="n">
        <v>3</v>
      </c>
      <c r="D138" s="6" t="inlineStr">
        <is>
          <t>Mar</t>
        </is>
      </c>
      <c r="E138" s="7">
        <f>Monthly_Estimates!E23</f>
        <v/>
      </c>
      <c r="F138" s="24">
        <f>E138/1000</f>
        <v/>
      </c>
      <c r="G138" s="11">
        <f>Monthly_Estimates!B23</f>
        <v/>
      </c>
      <c r="H138" s="6">
        <f>CHOOSE(Assumptions!$B$5,"Observed provincial profile + windows","Pooled profile + windows","Linear arithmetic")</f>
        <v/>
      </c>
      <c r="I138" s="6" t="inlineStr">
        <is>
          <t>Low</t>
        </is>
      </c>
    </row>
    <row r="139">
      <c r="A139" s="6" t="inlineStr">
        <is>
          <t>Dasol</t>
        </is>
      </c>
      <c r="B139" s="6" t="n">
        <v>2025</v>
      </c>
      <c r="C139" s="6" t="n">
        <v>4</v>
      </c>
      <c r="D139" s="6" t="inlineStr">
        <is>
          <t>Apr</t>
        </is>
      </c>
      <c r="E139" s="7">
        <f>Monthly_Estimates!F23</f>
        <v/>
      </c>
      <c r="F139" s="24">
        <f>E139/1000</f>
        <v/>
      </c>
      <c r="G139" s="11">
        <f>Monthly_Estimates!B23</f>
        <v/>
      </c>
      <c r="H139" s="6">
        <f>CHOOSE(Assumptions!$B$5,"Observed provincial profile + windows","Pooled profile + windows","Linear arithmetic")</f>
        <v/>
      </c>
      <c r="I139" s="6" t="inlineStr">
        <is>
          <t>Low</t>
        </is>
      </c>
    </row>
    <row r="140">
      <c r="A140" s="6" t="inlineStr">
        <is>
          <t>Dasol</t>
        </is>
      </c>
      <c r="B140" s="6" t="n">
        <v>2025</v>
      </c>
      <c r="C140" s="6" t="n">
        <v>5</v>
      </c>
      <c r="D140" s="6" t="inlineStr">
        <is>
          <t>May</t>
        </is>
      </c>
      <c r="E140" s="7">
        <f>Monthly_Estimates!G23</f>
        <v/>
      </c>
      <c r="F140" s="24">
        <f>E140/1000</f>
        <v/>
      </c>
      <c r="G140" s="11">
        <f>Monthly_Estimates!B23</f>
        <v/>
      </c>
      <c r="H140" s="6">
        <f>CHOOSE(Assumptions!$B$5,"Observed provincial profile + windows","Pooled profile + windows","Linear arithmetic")</f>
        <v/>
      </c>
      <c r="I140" s="6" t="inlineStr">
        <is>
          <t>Low</t>
        </is>
      </c>
    </row>
    <row r="141">
      <c r="A141" s="6" t="inlineStr">
        <is>
          <t>Dasol</t>
        </is>
      </c>
      <c r="B141" s="6" t="n">
        <v>2025</v>
      </c>
      <c r="C141" s="6" t="n">
        <v>6</v>
      </c>
      <c r="D141" s="6" t="inlineStr">
        <is>
          <t>Jun</t>
        </is>
      </c>
      <c r="E141" s="7">
        <f>Monthly_Estimates!H23</f>
        <v/>
      </c>
      <c r="F141" s="24">
        <f>E141/1000</f>
        <v/>
      </c>
      <c r="G141" s="11">
        <f>Monthly_Estimates!B23</f>
        <v/>
      </c>
      <c r="H141" s="6">
        <f>CHOOSE(Assumptions!$B$5,"Observed provincial profile + windows","Pooled profile + windows","Linear arithmetic")</f>
        <v/>
      </c>
      <c r="I141" s="6" t="inlineStr">
        <is>
          <t>Low</t>
        </is>
      </c>
    </row>
    <row r="142">
      <c r="A142" s="6" t="inlineStr">
        <is>
          <t>Dasol</t>
        </is>
      </c>
      <c r="B142" s="6" t="n">
        <v>2025</v>
      </c>
      <c r="C142" s="6" t="n">
        <v>7</v>
      </c>
      <c r="D142" s="6" t="inlineStr">
        <is>
          <t>Jul</t>
        </is>
      </c>
      <c r="E142" s="7">
        <f>Monthly_Estimates!I23</f>
        <v/>
      </c>
      <c r="F142" s="24">
        <f>E142/1000</f>
        <v/>
      </c>
      <c r="G142" s="11">
        <f>Monthly_Estimates!B23</f>
        <v/>
      </c>
      <c r="H142" s="6">
        <f>CHOOSE(Assumptions!$B$5,"Observed provincial profile + windows","Pooled profile + windows","Linear arithmetic")</f>
        <v/>
      </c>
      <c r="I142" s="6" t="inlineStr">
        <is>
          <t>Low</t>
        </is>
      </c>
    </row>
    <row r="143">
      <c r="A143" s="6" t="inlineStr">
        <is>
          <t>Dasol</t>
        </is>
      </c>
      <c r="B143" s="6" t="n">
        <v>2025</v>
      </c>
      <c r="C143" s="6" t="n">
        <v>8</v>
      </c>
      <c r="D143" s="6" t="inlineStr">
        <is>
          <t>Aug</t>
        </is>
      </c>
      <c r="E143" s="7">
        <f>Monthly_Estimates!J23</f>
        <v/>
      </c>
      <c r="F143" s="24">
        <f>E143/1000</f>
        <v/>
      </c>
      <c r="G143" s="11">
        <f>Monthly_Estimates!B23</f>
        <v/>
      </c>
      <c r="H143" s="6">
        <f>CHOOSE(Assumptions!$B$5,"Observed provincial profile + windows","Pooled profile + windows","Linear arithmetic")</f>
        <v/>
      </c>
      <c r="I143" s="6" t="inlineStr">
        <is>
          <t>Low</t>
        </is>
      </c>
    </row>
    <row r="144">
      <c r="A144" s="6" t="inlineStr">
        <is>
          <t>Dasol</t>
        </is>
      </c>
      <c r="B144" s="6" t="n">
        <v>2025</v>
      </c>
      <c r="C144" s="6" t="n">
        <v>9</v>
      </c>
      <c r="D144" s="6" t="inlineStr">
        <is>
          <t>Sep</t>
        </is>
      </c>
      <c r="E144" s="7">
        <f>Monthly_Estimates!K23</f>
        <v/>
      </c>
      <c r="F144" s="24">
        <f>E144/1000</f>
        <v/>
      </c>
      <c r="G144" s="11">
        <f>Monthly_Estimates!B23</f>
        <v/>
      </c>
      <c r="H144" s="6">
        <f>CHOOSE(Assumptions!$B$5,"Observed provincial profile + windows","Pooled profile + windows","Linear arithmetic")</f>
        <v/>
      </c>
      <c r="I144" s="6" t="inlineStr">
        <is>
          <t>Low</t>
        </is>
      </c>
    </row>
    <row r="145">
      <c r="A145" s="6" t="inlineStr">
        <is>
          <t>Dasol</t>
        </is>
      </c>
      <c r="B145" s="6" t="n">
        <v>2025</v>
      </c>
      <c r="C145" s="6" t="n">
        <v>10</v>
      </c>
      <c r="D145" s="6" t="inlineStr">
        <is>
          <t>Oct</t>
        </is>
      </c>
      <c r="E145" s="7">
        <f>Monthly_Estimates!L23</f>
        <v/>
      </c>
      <c r="F145" s="24">
        <f>E145/1000</f>
        <v/>
      </c>
      <c r="G145" s="11">
        <f>Monthly_Estimates!B23</f>
        <v/>
      </c>
      <c r="H145" s="6">
        <f>CHOOSE(Assumptions!$B$5,"Observed provincial profile + windows","Pooled profile + windows","Linear arithmetic")</f>
        <v/>
      </c>
      <c r="I145" s="6" t="inlineStr">
        <is>
          <t>Low</t>
        </is>
      </c>
    </row>
    <row r="146">
      <c r="A146" s="6" t="inlineStr">
        <is>
          <t>Dasol</t>
        </is>
      </c>
      <c r="B146" s="6" t="n">
        <v>2025</v>
      </c>
      <c r="C146" s="6" t="n">
        <v>11</v>
      </c>
      <c r="D146" s="6" t="inlineStr">
        <is>
          <t>Nov</t>
        </is>
      </c>
      <c r="E146" s="7">
        <f>Monthly_Estimates!M23</f>
        <v/>
      </c>
      <c r="F146" s="24">
        <f>E146/1000</f>
        <v/>
      </c>
      <c r="G146" s="11">
        <f>Monthly_Estimates!B23</f>
        <v/>
      </c>
      <c r="H146" s="6">
        <f>CHOOSE(Assumptions!$B$5,"Observed provincial profile + windows","Pooled profile + windows","Linear arithmetic")</f>
        <v/>
      </c>
      <c r="I146" s="6" t="inlineStr">
        <is>
          <t>Low</t>
        </is>
      </c>
    </row>
    <row r="147">
      <c r="A147" s="6" t="inlineStr">
        <is>
          <t>Dasol</t>
        </is>
      </c>
      <c r="B147" s="6" t="n">
        <v>2025</v>
      </c>
      <c r="C147" s="6" t="n">
        <v>12</v>
      </c>
      <c r="D147" s="6" t="inlineStr">
        <is>
          <t>Dec</t>
        </is>
      </c>
      <c r="E147" s="7">
        <f>Monthly_Estimates!N23</f>
        <v/>
      </c>
      <c r="F147" s="24">
        <f>E147/1000</f>
        <v/>
      </c>
      <c r="G147" s="11">
        <f>Monthly_Estimates!B23</f>
        <v/>
      </c>
      <c r="H147" s="6">
        <f>CHOOSE(Assumptions!$B$5,"Observed provincial profile + windows","Pooled profile + windows","Linear arithmetic")</f>
        <v/>
      </c>
      <c r="I147" s="6" t="inlineStr">
        <is>
          <t>Low</t>
        </is>
      </c>
    </row>
    <row r="148">
      <c r="A148" s="6" t="inlineStr">
        <is>
          <t>Infanta</t>
        </is>
      </c>
      <c r="B148" s="6" t="n">
        <v>2025</v>
      </c>
      <c r="C148" s="6" t="n">
        <v>1</v>
      </c>
      <c r="D148" s="6" t="inlineStr">
        <is>
          <t>Jan</t>
        </is>
      </c>
      <c r="E148" s="7">
        <f>Monthly_Estimates!C24</f>
        <v/>
      </c>
      <c r="F148" s="24">
        <f>E148/1000</f>
        <v/>
      </c>
      <c r="G148" s="11">
        <f>Monthly_Estimates!B24</f>
        <v/>
      </c>
      <c r="H148" s="6">
        <f>CHOOSE(Assumptions!$B$5,"Observed provincial profile + windows","Pooled profile + windows","Linear arithmetic")</f>
        <v/>
      </c>
      <c r="I148" s="6" t="inlineStr">
        <is>
          <t>Low–Medium</t>
        </is>
      </c>
    </row>
    <row r="149">
      <c r="A149" s="6" t="inlineStr">
        <is>
          <t>Infanta</t>
        </is>
      </c>
      <c r="B149" s="6" t="n">
        <v>2025</v>
      </c>
      <c r="C149" s="6" t="n">
        <v>2</v>
      </c>
      <c r="D149" s="6" t="inlineStr">
        <is>
          <t>Feb</t>
        </is>
      </c>
      <c r="E149" s="7">
        <f>Monthly_Estimates!D24</f>
        <v/>
      </c>
      <c r="F149" s="24">
        <f>E149/1000</f>
        <v/>
      </c>
      <c r="G149" s="11">
        <f>Monthly_Estimates!B24</f>
        <v/>
      </c>
      <c r="H149" s="6">
        <f>CHOOSE(Assumptions!$B$5,"Observed provincial profile + windows","Pooled profile + windows","Linear arithmetic")</f>
        <v/>
      </c>
      <c r="I149" s="6" t="inlineStr">
        <is>
          <t>Low–Medium</t>
        </is>
      </c>
    </row>
    <row r="150">
      <c r="A150" s="6" t="inlineStr">
        <is>
          <t>Infanta</t>
        </is>
      </c>
      <c r="B150" s="6" t="n">
        <v>2025</v>
      </c>
      <c r="C150" s="6" t="n">
        <v>3</v>
      </c>
      <c r="D150" s="6" t="inlineStr">
        <is>
          <t>Mar</t>
        </is>
      </c>
      <c r="E150" s="7">
        <f>Monthly_Estimates!E24</f>
        <v/>
      </c>
      <c r="F150" s="24">
        <f>E150/1000</f>
        <v/>
      </c>
      <c r="G150" s="11">
        <f>Monthly_Estimates!B24</f>
        <v/>
      </c>
      <c r="H150" s="6">
        <f>CHOOSE(Assumptions!$B$5,"Observed provincial profile + windows","Pooled profile + windows","Linear arithmetic")</f>
        <v/>
      </c>
      <c r="I150" s="6" t="inlineStr">
        <is>
          <t>Low–Medium</t>
        </is>
      </c>
    </row>
    <row r="151">
      <c r="A151" s="6" t="inlineStr">
        <is>
          <t>Infanta</t>
        </is>
      </c>
      <c r="B151" s="6" t="n">
        <v>2025</v>
      </c>
      <c r="C151" s="6" t="n">
        <v>4</v>
      </c>
      <c r="D151" s="6" t="inlineStr">
        <is>
          <t>Apr</t>
        </is>
      </c>
      <c r="E151" s="7">
        <f>Monthly_Estimates!F24</f>
        <v/>
      </c>
      <c r="F151" s="24">
        <f>E151/1000</f>
        <v/>
      </c>
      <c r="G151" s="11">
        <f>Monthly_Estimates!B24</f>
        <v/>
      </c>
      <c r="H151" s="6">
        <f>CHOOSE(Assumptions!$B$5,"Observed provincial profile + windows","Pooled profile + windows","Linear arithmetic")</f>
        <v/>
      </c>
      <c r="I151" s="6" t="inlineStr">
        <is>
          <t>Low–Medium</t>
        </is>
      </c>
    </row>
    <row r="152">
      <c r="A152" s="6" t="inlineStr">
        <is>
          <t>Infanta</t>
        </is>
      </c>
      <c r="B152" s="6" t="n">
        <v>2025</v>
      </c>
      <c r="C152" s="6" t="n">
        <v>5</v>
      </c>
      <c r="D152" s="6" t="inlineStr">
        <is>
          <t>May</t>
        </is>
      </c>
      <c r="E152" s="7">
        <f>Monthly_Estimates!G24</f>
        <v/>
      </c>
      <c r="F152" s="24">
        <f>E152/1000</f>
        <v/>
      </c>
      <c r="G152" s="11">
        <f>Monthly_Estimates!B24</f>
        <v/>
      </c>
      <c r="H152" s="6">
        <f>CHOOSE(Assumptions!$B$5,"Observed provincial profile + windows","Pooled profile + windows","Linear arithmetic")</f>
        <v/>
      </c>
      <c r="I152" s="6" t="inlineStr">
        <is>
          <t>Low–Medium</t>
        </is>
      </c>
    </row>
    <row r="153">
      <c r="A153" s="6" t="inlineStr">
        <is>
          <t>Infanta</t>
        </is>
      </c>
      <c r="B153" s="6" t="n">
        <v>2025</v>
      </c>
      <c r="C153" s="6" t="n">
        <v>6</v>
      </c>
      <c r="D153" s="6" t="inlineStr">
        <is>
          <t>Jun</t>
        </is>
      </c>
      <c r="E153" s="7">
        <f>Monthly_Estimates!H24</f>
        <v/>
      </c>
      <c r="F153" s="24">
        <f>E153/1000</f>
        <v/>
      </c>
      <c r="G153" s="11">
        <f>Monthly_Estimates!B24</f>
        <v/>
      </c>
      <c r="H153" s="6">
        <f>CHOOSE(Assumptions!$B$5,"Observed provincial profile + windows","Pooled profile + windows","Linear arithmetic")</f>
        <v/>
      </c>
      <c r="I153" s="6" t="inlineStr">
        <is>
          <t>Low–Medium</t>
        </is>
      </c>
    </row>
    <row r="154">
      <c r="A154" s="6" t="inlineStr">
        <is>
          <t>Infanta</t>
        </is>
      </c>
      <c r="B154" s="6" t="n">
        <v>2025</v>
      </c>
      <c r="C154" s="6" t="n">
        <v>7</v>
      </c>
      <c r="D154" s="6" t="inlineStr">
        <is>
          <t>Jul</t>
        </is>
      </c>
      <c r="E154" s="7">
        <f>Monthly_Estimates!I24</f>
        <v/>
      </c>
      <c r="F154" s="24">
        <f>E154/1000</f>
        <v/>
      </c>
      <c r="G154" s="11">
        <f>Monthly_Estimates!B24</f>
        <v/>
      </c>
      <c r="H154" s="6">
        <f>CHOOSE(Assumptions!$B$5,"Observed provincial profile + windows","Pooled profile + windows","Linear arithmetic")</f>
        <v/>
      </c>
      <c r="I154" s="6" t="inlineStr">
        <is>
          <t>Low–Medium</t>
        </is>
      </c>
    </row>
    <row r="155">
      <c r="A155" s="6" t="inlineStr">
        <is>
          <t>Infanta</t>
        </is>
      </c>
      <c r="B155" s="6" t="n">
        <v>2025</v>
      </c>
      <c r="C155" s="6" t="n">
        <v>8</v>
      </c>
      <c r="D155" s="6" t="inlineStr">
        <is>
          <t>Aug</t>
        </is>
      </c>
      <c r="E155" s="7">
        <f>Monthly_Estimates!J24</f>
        <v/>
      </c>
      <c r="F155" s="24">
        <f>E155/1000</f>
        <v/>
      </c>
      <c r="G155" s="11">
        <f>Monthly_Estimates!B24</f>
        <v/>
      </c>
      <c r="H155" s="6">
        <f>CHOOSE(Assumptions!$B$5,"Observed provincial profile + windows","Pooled profile + windows","Linear arithmetic")</f>
        <v/>
      </c>
      <c r="I155" s="6" t="inlineStr">
        <is>
          <t>Low–Medium</t>
        </is>
      </c>
    </row>
    <row r="156">
      <c r="A156" s="6" t="inlineStr">
        <is>
          <t>Infanta</t>
        </is>
      </c>
      <c r="B156" s="6" t="n">
        <v>2025</v>
      </c>
      <c r="C156" s="6" t="n">
        <v>9</v>
      </c>
      <c r="D156" s="6" t="inlineStr">
        <is>
          <t>Sep</t>
        </is>
      </c>
      <c r="E156" s="7">
        <f>Monthly_Estimates!K24</f>
        <v/>
      </c>
      <c r="F156" s="24">
        <f>E156/1000</f>
        <v/>
      </c>
      <c r="G156" s="11">
        <f>Monthly_Estimates!B24</f>
        <v/>
      </c>
      <c r="H156" s="6">
        <f>CHOOSE(Assumptions!$B$5,"Observed provincial profile + windows","Pooled profile + windows","Linear arithmetic")</f>
        <v/>
      </c>
      <c r="I156" s="6" t="inlineStr">
        <is>
          <t>Low–Medium</t>
        </is>
      </c>
    </row>
    <row r="157">
      <c r="A157" s="6" t="inlineStr">
        <is>
          <t>Infanta</t>
        </is>
      </c>
      <c r="B157" s="6" t="n">
        <v>2025</v>
      </c>
      <c r="C157" s="6" t="n">
        <v>10</v>
      </c>
      <c r="D157" s="6" t="inlineStr">
        <is>
          <t>Oct</t>
        </is>
      </c>
      <c r="E157" s="7">
        <f>Monthly_Estimates!L24</f>
        <v/>
      </c>
      <c r="F157" s="24">
        <f>E157/1000</f>
        <v/>
      </c>
      <c r="G157" s="11">
        <f>Monthly_Estimates!B24</f>
        <v/>
      </c>
      <c r="H157" s="6">
        <f>CHOOSE(Assumptions!$B$5,"Observed provincial profile + windows","Pooled profile + windows","Linear arithmetic")</f>
        <v/>
      </c>
      <c r="I157" s="6" t="inlineStr">
        <is>
          <t>Low–Medium</t>
        </is>
      </c>
    </row>
    <row r="158">
      <c r="A158" s="6" t="inlineStr">
        <is>
          <t>Infanta</t>
        </is>
      </c>
      <c r="B158" s="6" t="n">
        <v>2025</v>
      </c>
      <c r="C158" s="6" t="n">
        <v>11</v>
      </c>
      <c r="D158" s="6" t="inlineStr">
        <is>
          <t>Nov</t>
        </is>
      </c>
      <c r="E158" s="7">
        <f>Monthly_Estimates!M24</f>
        <v/>
      </c>
      <c r="F158" s="24">
        <f>E158/1000</f>
        <v/>
      </c>
      <c r="G158" s="11">
        <f>Monthly_Estimates!B24</f>
        <v/>
      </c>
      <c r="H158" s="6">
        <f>CHOOSE(Assumptions!$B$5,"Observed provincial profile + windows","Pooled profile + windows","Linear arithmetic")</f>
        <v/>
      </c>
      <c r="I158" s="6" t="inlineStr">
        <is>
          <t>Low–Medium</t>
        </is>
      </c>
    </row>
    <row r="159">
      <c r="A159" s="6" t="inlineStr">
        <is>
          <t>Infanta</t>
        </is>
      </c>
      <c r="B159" s="6" t="n">
        <v>2025</v>
      </c>
      <c r="C159" s="6" t="n">
        <v>12</v>
      </c>
      <c r="D159" s="6" t="inlineStr">
        <is>
          <t>Dec</t>
        </is>
      </c>
      <c r="E159" s="7">
        <f>Monthly_Estimates!N24</f>
        <v/>
      </c>
      <c r="F159" s="24">
        <f>E159/1000</f>
        <v/>
      </c>
      <c r="G159" s="11">
        <f>Monthly_Estimates!B24</f>
        <v/>
      </c>
      <c r="H159" s="6">
        <f>CHOOSE(Assumptions!$B$5,"Observed provincial profile + windows","Pooled profile + windows","Linear arithmetic")</f>
        <v/>
      </c>
      <c r="I159" s="6" t="inlineStr">
        <is>
          <t>Low–Medium</t>
        </is>
      </c>
    </row>
    <row r="160">
      <c r="A160" s="6" t="inlineStr">
        <is>
          <t>San Fabian</t>
        </is>
      </c>
      <c r="B160" s="6" t="n">
        <v>2025</v>
      </c>
      <c r="C160" s="6" t="n">
        <v>1</v>
      </c>
      <c r="D160" s="6" t="inlineStr">
        <is>
          <t>Jan</t>
        </is>
      </c>
      <c r="E160" s="7">
        <f>Monthly_Estimates!C25</f>
        <v/>
      </c>
      <c r="F160" s="24">
        <f>E160/1000</f>
        <v/>
      </c>
      <c r="G160" s="11">
        <f>Monthly_Estimates!B25</f>
        <v/>
      </c>
      <c r="H160" s="6">
        <f>CHOOSE(Assumptions!$B$5,"Observed provincial profile + windows","Pooled profile + windows","Linear arithmetic")</f>
        <v/>
      </c>
      <c r="I160" s="6" t="inlineStr">
        <is>
          <t>Medium–High</t>
        </is>
      </c>
    </row>
    <row r="161">
      <c r="A161" s="6" t="inlineStr">
        <is>
          <t>San Fabian</t>
        </is>
      </c>
      <c r="B161" s="6" t="n">
        <v>2025</v>
      </c>
      <c r="C161" s="6" t="n">
        <v>2</v>
      </c>
      <c r="D161" s="6" t="inlineStr">
        <is>
          <t>Feb</t>
        </is>
      </c>
      <c r="E161" s="7">
        <f>Monthly_Estimates!D25</f>
        <v/>
      </c>
      <c r="F161" s="24">
        <f>E161/1000</f>
        <v/>
      </c>
      <c r="G161" s="11">
        <f>Monthly_Estimates!B25</f>
        <v/>
      </c>
      <c r="H161" s="6">
        <f>CHOOSE(Assumptions!$B$5,"Observed provincial profile + windows","Pooled profile + windows","Linear arithmetic")</f>
        <v/>
      </c>
      <c r="I161" s="6" t="inlineStr">
        <is>
          <t>Medium–High</t>
        </is>
      </c>
    </row>
    <row r="162">
      <c r="A162" s="6" t="inlineStr">
        <is>
          <t>San Fabian</t>
        </is>
      </c>
      <c r="B162" s="6" t="n">
        <v>2025</v>
      </c>
      <c r="C162" s="6" t="n">
        <v>3</v>
      </c>
      <c r="D162" s="6" t="inlineStr">
        <is>
          <t>Mar</t>
        </is>
      </c>
      <c r="E162" s="7">
        <f>Monthly_Estimates!E25</f>
        <v/>
      </c>
      <c r="F162" s="24">
        <f>E162/1000</f>
        <v/>
      </c>
      <c r="G162" s="11">
        <f>Monthly_Estimates!B25</f>
        <v/>
      </c>
      <c r="H162" s="6">
        <f>CHOOSE(Assumptions!$B$5,"Observed provincial profile + windows","Pooled profile + windows","Linear arithmetic")</f>
        <v/>
      </c>
      <c r="I162" s="6" t="inlineStr">
        <is>
          <t>Medium–High</t>
        </is>
      </c>
    </row>
    <row r="163">
      <c r="A163" s="6" t="inlineStr">
        <is>
          <t>San Fabian</t>
        </is>
      </c>
      <c r="B163" s="6" t="n">
        <v>2025</v>
      </c>
      <c r="C163" s="6" t="n">
        <v>4</v>
      </c>
      <c r="D163" s="6" t="inlineStr">
        <is>
          <t>Apr</t>
        </is>
      </c>
      <c r="E163" s="7">
        <f>Monthly_Estimates!F25</f>
        <v/>
      </c>
      <c r="F163" s="24">
        <f>E163/1000</f>
        <v/>
      </c>
      <c r="G163" s="11">
        <f>Monthly_Estimates!B25</f>
        <v/>
      </c>
      <c r="H163" s="6">
        <f>CHOOSE(Assumptions!$B$5,"Observed provincial profile + windows","Pooled profile + windows","Linear arithmetic")</f>
        <v/>
      </c>
      <c r="I163" s="6" t="inlineStr">
        <is>
          <t>Medium–High</t>
        </is>
      </c>
    </row>
    <row r="164">
      <c r="A164" s="6" t="inlineStr">
        <is>
          <t>San Fabian</t>
        </is>
      </c>
      <c r="B164" s="6" t="n">
        <v>2025</v>
      </c>
      <c r="C164" s="6" t="n">
        <v>5</v>
      </c>
      <c r="D164" s="6" t="inlineStr">
        <is>
          <t>May</t>
        </is>
      </c>
      <c r="E164" s="7">
        <f>Monthly_Estimates!G25</f>
        <v/>
      </c>
      <c r="F164" s="24">
        <f>E164/1000</f>
        <v/>
      </c>
      <c r="G164" s="11">
        <f>Monthly_Estimates!B25</f>
        <v/>
      </c>
      <c r="H164" s="6">
        <f>CHOOSE(Assumptions!$B$5,"Observed provincial profile + windows","Pooled profile + windows","Linear arithmetic")</f>
        <v/>
      </c>
      <c r="I164" s="6" t="inlineStr">
        <is>
          <t>Medium–High</t>
        </is>
      </c>
    </row>
    <row r="165">
      <c r="A165" s="6" t="inlineStr">
        <is>
          <t>San Fabian</t>
        </is>
      </c>
      <c r="B165" s="6" t="n">
        <v>2025</v>
      </c>
      <c r="C165" s="6" t="n">
        <v>6</v>
      </c>
      <c r="D165" s="6" t="inlineStr">
        <is>
          <t>Jun</t>
        </is>
      </c>
      <c r="E165" s="7">
        <f>Monthly_Estimates!H25</f>
        <v/>
      </c>
      <c r="F165" s="24">
        <f>E165/1000</f>
        <v/>
      </c>
      <c r="G165" s="11">
        <f>Monthly_Estimates!B25</f>
        <v/>
      </c>
      <c r="H165" s="6">
        <f>CHOOSE(Assumptions!$B$5,"Observed provincial profile + windows","Pooled profile + windows","Linear arithmetic")</f>
        <v/>
      </c>
      <c r="I165" s="6" t="inlineStr">
        <is>
          <t>Medium–High</t>
        </is>
      </c>
    </row>
    <row r="166">
      <c r="A166" s="6" t="inlineStr">
        <is>
          <t>San Fabian</t>
        </is>
      </c>
      <c r="B166" s="6" t="n">
        <v>2025</v>
      </c>
      <c r="C166" s="6" t="n">
        <v>7</v>
      </c>
      <c r="D166" s="6" t="inlineStr">
        <is>
          <t>Jul</t>
        </is>
      </c>
      <c r="E166" s="7">
        <f>Monthly_Estimates!I25</f>
        <v/>
      </c>
      <c r="F166" s="24">
        <f>E166/1000</f>
        <v/>
      </c>
      <c r="G166" s="11">
        <f>Monthly_Estimates!B25</f>
        <v/>
      </c>
      <c r="H166" s="6">
        <f>CHOOSE(Assumptions!$B$5,"Observed provincial profile + windows","Pooled profile + windows","Linear arithmetic")</f>
        <v/>
      </c>
      <c r="I166" s="6" t="inlineStr">
        <is>
          <t>Medium–High</t>
        </is>
      </c>
    </row>
    <row r="167">
      <c r="A167" s="6" t="inlineStr">
        <is>
          <t>San Fabian</t>
        </is>
      </c>
      <c r="B167" s="6" t="n">
        <v>2025</v>
      </c>
      <c r="C167" s="6" t="n">
        <v>8</v>
      </c>
      <c r="D167" s="6" t="inlineStr">
        <is>
          <t>Aug</t>
        </is>
      </c>
      <c r="E167" s="7">
        <f>Monthly_Estimates!J25</f>
        <v/>
      </c>
      <c r="F167" s="24">
        <f>E167/1000</f>
        <v/>
      </c>
      <c r="G167" s="11">
        <f>Monthly_Estimates!B25</f>
        <v/>
      </c>
      <c r="H167" s="6">
        <f>CHOOSE(Assumptions!$B$5,"Observed provincial profile + windows","Pooled profile + windows","Linear arithmetic")</f>
        <v/>
      </c>
      <c r="I167" s="6" t="inlineStr">
        <is>
          <t>Medium–High</t>
        </is>
      </c>
    </row>
    <row r="168">
      <c r="A168" s="6" t="inlineStr">
        <is>
          <t>San Fabian</t>
        </is>
      </c>
      <c r="B168" s="6" t="n">
        <v>2025</v>
      </c>
      <c r="C168" s="6" t="n">
        <v>9</v>
      </c>
      <c r="D168" s="6" t="inlineStr">
        <is>
          <t>Sep</t>
        </is>
      </c>
      <c r="E168" s="7">
        <f>Monthly_Estimates!K25</f>
        <v/>
      </c>
      <c r="F168" s="24">
        <f>E168/1000</f>
        <v/>
      </c>
      <c r="G168" s="11">
        <f>Monthly_Estimates!B25</f>
        <v/>
      </c>
      <c r="H168" s="6">
        <f>CHOOSE(Assumptions!$B$5,"Observed provincial profile + windows","Pooled profile + windows","Linear arithmetic")</f>
        <v/>
      </c>
      <c r="I168" s="6" t="inlineStr">
        <is>
          <t>Medium–High</t>
        </is>
      </c>
    </row>
    <row r="169">
      <c r="A169" s="6" t="inlineStr">
        <is>
          <t>San Fabian</t>
        </is>
      </c>
      <c r="B169" s="6" t="n">
        <v>2025</v>
      </c>
      <c r="C169" s="6" t="n">
        <v>10</v>
      </c>
      <c r="D169" s="6" t="inlineStr">
        <is>
          <t>Oct</t>
        </is>
      </c>
      <c r="E169" s="7">
        <f>Monthly_Estimates!L25</f>
        <v/>
      </c>
      <c r="F169" s="24">
        <f>E169/1000</f>
        <v/>
      </c>
      <c r="G169" s="11">
        <f>Monthly_Estimates!B25</f>
        <v/>
      </c>
      <c r="H169" s="6">
        <f>CHOOSE(Assumptions!$B$5,"Observed provincial profile + windows","Pooled profile + windows","Linear arithmetic")</f>
        <v/>
      </c>
      <c r="I169" s="6" t="inlineStr">
        <is>
          <t>Medium–High</t>
        </is>
      </c>
    </row>
    <row r="170">
      <c r="A170" s="6" t="inlineStr">
        <is>
          <t>San Fabian</t>
        </is>
      </c>
      <c r="B170" s="6" t="n">
        <v>2025</v>
      </c>
      <c r="C170" s="6" t="n">
        <v>11</v>
      </c>
      <c r="D170" s="6" t="inlineStr">
        <is>
          <t>Nov</t>
        </is>
      </c>
      <c r="E170" s="7">
        <f>Monthly_Estimates!M25</f>
        <v/>
      </c>
      <c r="F170" s="24">
        <f>E170/1000</f>
        <v/>
      </c>
      <c r="G170" s="11">
        <f>Monthly_Estimates!B25</f>
        <v/>
      </c>
      <c r="H170" s="6">
        <f>CHOOSE(Assumptions!$B$5,"Observed provincial profile + windows","Pooled profile + windows","Linear arithmetic")</f>
        <v/>
      </c>
      <c r="I170" s="6" t="inlineStr">
        <is>
          <t>Medium–High</t>
        </is>
      </c>
    </row>
    <row r="171">
      <c r="A171" s="6" t="inlineStr">
        <is>
          <t>San Fabian</t>
        </is>
      </c>
      <c r="B171" s="6" t="n">
        <v>2025</v>
      </c>
      <c r="C171" s="6" t="n">
        <v>12</v>
      </c>
      <c r="D171" s="6" t="inlineStr">
        <is>
          <t>Dec</t>
        </is>
      </c>
      <c r="E171" s="7">
        <f>Monthly_Estimates!N25</f>
        <v/>
      </c>
      <c r="F171" s="24">
        <f>E171/1000</f>
        <v/>
      </c>
      <c r="G171" s="11">
        <f>Monthly_Estimates!B25</f>
        <v/>
      </c>
      <c r="H171" s="6">
        <f>CHOOSE(Assumptions!$B$5,"Observed provincial profile + windows","Pooled profile + windows","Linear arithmetic")</f>
        <v/>
      </c>
      <c r="I171" s="6" t="inlineStr">
        <is>
          <t>Medium–High</t>
        </is>
      </c>
    </row>
    <row r="172">
      <c r="A172" s="6" t="inlineStr">
        <is>
          <t>San Fabian</t>
        </is>
      </c>
      <c r="B172" s="6" t="n">
        <v>2023</v>
      </c>
      <c r="C172" s="6" t="n">
        <v>1</v>
      </c>
      <c r="D172" s="6" t="inlineStr">
        <is>
          <t>Jan</t>
        </is>
      </c>
      <c r="E172" s="7">
        <f>Monthly_Estimates!C32</f>
        <v/>
      </c>
      <c r="F172" s="24">
        <f>E172/1000</f>
        <v/>
      </c>
      <c r="G172" s="11">
        <f>Monthly_Estimates!B32</f>
        <v/>
      </c>
      <c r="H172" s="6" t="inlineStr">
        <is>
          <t>San Fabian hybrid series (observed / pooled profile)</t>
        </is>
      </c>
      <c r="I172" s="6" t="inlineStr">
        <is>
          <t>Medium–High (2023: primary only)</t>
        </is>
      </c>
    </row>
    <row r="173">
      <c r="A173" s="6" t="inlineStr">
        <is>
          <t>San Fabian</t>
        </is>
      </c>
      <c r="B173" s="6" t="n">
        <v>2023</v>
      </c>
      <c r="C173" s="6" t="n">
        <v>2</v>
      </c>
      <c r="D173" s="6" t="inlineStr">
        <is>
          <t>Feb</t>
        </is>
      </c>
      <c r="E173" s="7">
        <f>Monthly_Estimates!D32</f>
        <v/>
      </c>
      <c r="F173" s="24">
        <f>E173/1000</f>
        <v/>
      </c>
      <c r="G173" s="11">
        <f>Monthly_Estimates!B32</f>
        <v/>
      </c>
      <c r="H173" s="6" t="inlineStr">
        <is>
          <t>San Fabian hybrid series (observed / pooled profile)</t>
        </is>
      </c>
      <c r="I173" s="6" t="inlineStr">
        <is>
          <t>Medium–High (2023: primary only)</t>
        </is>
      </c>
    </row>
    <row r="174">
      <c r="A174" s="6" t="inlineStr">
        <is>
          <t>San Fabian</t>
        </is>
      </c>
      <c r="B174" s="6" t="n">
        <v>2023</v>
      </c>
      <c r="C174" s="6" t="n">
        <v>3</v>
      </c>
      <c r="D174" s="6" t="inlineStr">
        <is>
          <t>Mar</t>
        </is>
      </c>
      <c r="E174" s="7">
        <f>Monthly_Estimates!E32</f>
        <v/>
      </c>
      <c r="F174" s="24">
        <f>E174/1000</f>
        <v/>
      </c>
      <c r="G174" s="11">
        <f>Monthly_Estimates!B32</f>
        <v/>
      </c>
      <c r="H174" s="6" t="inlineStr">
        <is>
          <t>San Fabian hybrid series (observed / pooled profile)</t>
        </is>
      </c>
      <c r="I174" s="6" t="inlineStr">
        <is>
          <t>Medium–High (2023: primary only)</t>
        </is>
      </c>
    </row>
    <row r="175">
      <c r="A175" s="6" t="inlineStr">
        <is>
          <t>San Fabian</t>
        </is>
      </c>
      <c r="B175" s="6" t="n">
        <v>2023</v>
      </c>
      <c r="C175" s="6" t="n">
        <v>4</v>
      </c>
      <c r="D175" s="6" t="inlineStr">
        <is>
          <t>Apr</t>
        </is>
      </c>
      <c r="E175" s="7">
        <f>Monthly_Estimates!F32</f>
        <v/>
      </c>
      <c r="F175" s="24">
        <f>E175/1000</f>
        <v/>
      </c>
      <c r="G175" s="11">
        <f>Monthly_Estimates!B32</f>
        <v/>
      </c>
      <c r="H175" s="6" t="inlineStr">
        <is>
          <t>San Fabian hybrid series (observed / pooled profile)</t>
        </is>
      </c>
      <c r="I175" s="6" t="inlineStr">
        <is>
          <t>Medium–High (2023: primary only)</t>
        </is>
      </c>
    </row>
    <row r="176">
      <c r="A176" s="6" t="inlineStr">
        <is>
          <t>San Fabian</t>
        </is>
      </c>
      <c r="B176" s="6" t="n">
        <v>2023</v>
      </c>
      <c r="C176" s="6" t="n">
        <v>5</v>
      </c>
      <c r="D176" s="6" t="inlineStr">
        <is>
          <t>May</t>
        </is>
      </c>
      <c r="E176" s="7">
        <f>Monthly_Estimates!G32</f>
        <v/>
      </c>
      <c r="F176" s="24">
        <f>E176/1000</f>
        <v/>
      </c>
      <c r="G176" s="11">
        <f>Monthly_Estimates!B32</f>
        <v/>
      </c>
      <c r="H176" s="6" t="inlineStr">
        <is>
          <t>San Fabian hybrid series (observed / pooled profile)</t>
        </is>
      </c>
      <c r="I176" s="6" t="inlineStr">
        <is>
          <t>Medium–High (2023: primary only)</t>
        </is>
      </c>
    </row>
    <row r="177">
      <c r="A177" s="6" t="inlineStr">
        <is>
          <t>San Fabian</t>
        </is>
      </c>
      <c r="B177" s="6" t="n">
        <v>2023</v>
      </c>
      <c r="C177" s="6" t="n">
        <v>6</v>
      </c>
      <c r="D177" s="6" t="inlineStr">
        <is>
          <t>Jun</t>
        </is>
      </c>
      <c r="E177" s="7">
        <f>Monthly_Estimates!H32</f>
        <v/>
      </c>
      <c r="F177" s="24">
        <f>E177/1000</f>
        <v/>
      </c>
      <c r="G177" s="11">
        <f>Monthly_Estimates!B32</f>
        <v/>
      </c>
      <c r="H177" s="6" t="inlineStr">
        <is>
          <t>San Fabian hybrid series (observed / pooled profile)</t>
        </is>
      </c>
      <c r="I177" s="6" t="inlineStr">
        <is>
          <t>Medium–High (2023: primary only)</t>
        </is>
      </c>
    </row>
    <row r="178">
      <c r="A178" s="6" t="inlineStr">
        <is>
          <t>San Fabian</t>
        </is>
      </c>
      <c r="B178" s="6" t="n">
        <v>2023</v>
      </c>
      <c r="C178" s="6" t="n">
        <v>7</v>
      </c>
      <c r="D178" s="6" t="inlineStr">
        <is>
          <t>Jul</t>
        </is>
      </c>
      <c r="E178" s="7">
        <f>Monthly_Estimates!I32</f>
        <v/>
      </c>
      <c r="F178" s="24">
        <f>E178/1000</f>
        <v/>
      </c>
      <c r="G178" s="11">
        <f>Monthly_Estimates!B32</f>
        <v/>
      </c>
      <c r="H178" s="6" t="inlineStr">
        <is>
          <t>San Fabian hybrid series (observed / pooled profile)</t>
        </is>
      </c>
      <c r="I178" s="6" t="inlineStr">
        <is>
          <t>Medium–High (2023: primary only)</t>
        </is>
      </c>
    </row>
    <row r="179">
      <c r="A179" s="6" t="inlineStr">
        <is>
          <t>San Fabian</t>
        </is>
      </c>
      <c r="B179" s="6" t="n">
        <v>2023</v>
      </c>
      <c r="C179" s="6" t="n">
        <v>8</v>
      </c>
      <c r="D179" s="6" t="inlineStr">
        <is>
          <t>Aug</t>
        </is>
      </c>
      <c r="E179" s="7">
        <f>Monthly_Estimates!J32</f>
        <v/>
      </c>
      <c r="F179" s="24">
        <f>E179/1000</f>
        <v/>
      </c>
      <c r="G179" s="11">
        <f>Monthly_Estimates!B32</f>
        <v/>
      </c>
      <c r="H179" s="6" t="inlineStr">
        <is>
          <t>San Fabian hybrid series (observed / pooled profile)</t>
        </is>
      </c>
      <c r="I179" s="6" t="inlineStr">
        <is>
          <t>Medium–High (2023: primary only)</t>
        </is>
      </c>
    </row>
    <row r="180">
      <c r="A180" s="6" t="inlineStr">
        <is>
          <t>San Fabian</t>
        </is>
      </c>
      <c r="B180" s="6" t="n">
        <v>2023</v>
      </c>
      <c r="C180" s="6" t="n">
        <v>9</v>
      </c>
      <c r="D180" s="6" t="inlineStr">
        <is>
          <t>Sep</t>
        </is>
      </c>
      <c r="E180" s="7">
        <f>Monthly_Estimates!K32</f>
        <v/>
      </c>
      <c r="F180" s="24">
        <f>E180/1000</f>
        <v/>
      </c>
      <c r="G180" s="11">
        <f>Monthly_Estimates!B32</f>
        <v/>
      </c>
      <c r="H180" s="6" t="inlineStr">
        <is>
          <t>San Fabian hybrid series (observed / pooled profile)</t>
        </is>
      </c>
      <c r="I180" s="6" t="inlineStr">
        <is>
          <t>Medium–High (2023: primary only)</t>
        </is>
      </c>
    </row>
    <row r="181">
      <c r="A181" s="6" t="inlineStr">
        <is>
          <t>San Fabian</t>
        </is>
      </c>
      <c r="B181" s="6" t="n">
        <v>2023</v>
      </c>
      <c r="C181" s="6" t="n">
        <v>10</v>
      </c>
      <c r="D181" s="6" t="inlineStr">
        <is>
          <t>Oct</t>
        </is>
      </c>
      <c r="E181" s="7">
        <f>Monthly_Estimates!L32</f>
        <v/>
      </c>
      <c r="F181" s="24">
        <f>E181/1000</f>
        <v/>
      </c>
      <c r="G181" s="11">
        <f>Monthly_Estimates!B32</f>
        <v/>
      </c>
      <c r="H181" s="6" t="inlineStr">
        <is>
          <t>San Fabian hybrid series (observed / pooled profile)</t>
        </is>
      </c>
      <c r="I181" s="6" t="inlineStr">
        <is>
          <t>Medium–High (2023: primary only)</t>
        </is>
      </c>
    </row>
    <row r="182">
      <c r="A182" s="6" t="inlineStr">
        <is>
          <t>San Fabian</t>
        </is>
      </c>
      <c r="B182" s="6" t="n">
        <v>2023</v>
      </c>
      <c r="C182" s="6" t="n">
        <v>11</v>
      </c>
      <c r="D182" s="6" t="inlineStr">
        <is>
          <t>Nov</t>
        </is>
      </c>
      <c r="E182" s="7">
        <f>Monthly_Estimates!M32</f>
        <v/>
      </c>
      <c r="F182" s="24">
        <f>E182/1000</f>
        <v/>
      </c>
      <c r="G182" s="11">
        <f>Monthly_Estimates!B32</f>
        <v/>
      </c>
      <c r="H182" s="6" t="inlineStr">
        <is>
          <t>San Fabian hybrid series (observed / pooled profile)</t>
        </is>
      </c>
      <c r="I182" s="6" t="inlineStr">
        <is>
          <t>Medium–High (2023: primary only)</t>
        </is>
      </c>
    </row>
    <row r="183">
      <c r="A183" s="6" t="inlineStr">
        <is>
          <t>San Fabian</t>
        </is>
      </c>
      <c r="B183" s="6" t="n">
        <v>2023</v>
      </c>
      <c r="C183" s="6" t="n">
        <v>12</v>
      </c>
      <c r="D183" s="6" t="inlineStr">
        <is>
          <t>Dec</t>
        </is>
      </c>
      <c r="E183" s="7">
        <f>Monthly_Estimates!N32</f>
        <v/>
      </c>
      <c r="F183" s="24">
        <f>E183/1000</f>
        <v/>
      </c>
      <c r="G183" s="11">
        <f>Monthly_Estimates!B32</f>
        <v/>
      </c>
      <c r="H183" s="6" t="inlineStr">
        <is>
          <t>San Fabian hybrid series (observed / pooled profile)</t>
        </is>
      </c>
      <c r="I183" s="6" t="inlineStr">
        <is>
          <t>Medium–High (2023: primary only)</t>
        </is>
      </c>
    </row>
    <row r="184">
      <c r="A184" s="6" t="inlineStr">
        <is>
          <t>San Fabian</t>
        </is>
      </c>
      <c r="B184" s="6" t="n">
        <v>2026</v>
      </c>
      <c r="C184" s="6" t="n">
        <v>1</v>
      </c>
      <c r="D184" s="6" t="inlineStr">
        <is>
          <t>Jan</t>
        </is>
      </c>
      <c r="E184" s="7">
        <f>Monthly_Estimates!C35</f>
        <v/>
      </c>
      <c r="F184" s="24">
        <f>E184/1000</f>
        <v/>
      </c>
      <c r="G184" s="11">
        <f>Monthly_Estimates!B35</f>
        <v/>
      </c>
      <c r="H184" s="6" t="inlineStr">
        <is>
          <t>San Fabian hybrid series (observed / pooled profile)</t>
        </is>
      </c>
      <c r="I184" s="6" t="inlineStr">
        <is>
          <t>Low–Medium (2026: FOI fill, provisional)</t>
        </is>
      </c>
    </row>
    <row r="185">
      <c r="A185" s="6" t="inlineStr">
        <is>
          <t>San Fabian</t>
        </is>
      </c>
      <c r="B185" s="6" t="n">
        <v>2026</v>
      </c>
      <c r="C185" s="6" t="n">
        <v>2</v>
      </c>
      <c r="D185" s="6" t="inlineStr">
        <is>
          <t>Feb</t>
        </is>
      </c>
      <c r="E185" s="7">
        <f>Monthly_Estimates!D35</f>
        <v/>
      </c>
      <c r="F185" s="24">
        <f>E185/1000</f>
        <v/>
      </c>
      <c r="G185" s="11">
        <f>Monthly_Estimates!B35</f>
        <v/>
      </c>
      <c r="H185" s="6" t="inlineStr">
        <is>
          <t>San Fabian hybrid series (observed / pooled profile)</t>
        </is>
      </c>
      <c r="I185" s="6" t="inlineStr">
        <is>
          <t>Low–Medium (2026: FOI fill, provisional)</t>
        </is>
      </c>
    </row>
    <row r="186">
      <c r="A186" s="6" t="inlineStr">
        <is>
          <t>San Fabian</t>
        </is>
      </c>
      <c r="B186" s="6" t="n">
        <v>2026</v>
      </c>
      <c r="C186" s="6" t="n">
        <v>3</v>
      </c>
      <c r="D186" s="6" t="inlineStr">
        <is>
          <t>Mar</t>
        </is>
      </c>
      <c r="E186" s="7">
        <f>Monthly_Estimates!E35</f>
        <v/>
      </c>
      <c r="F186" s="24">
        <f>E186/1000</f>
        <v/>
      </c>
      <c r="G186" s="11">
        <f>Monthly_Estimates!B35</f>
        <v/>
      </c>
      <c r="H186" s="6" t="inlineStr">
        <is>
          <t>San Fabian hybrid series (observed / pooled profile)</t>
        </is>
      </c>
      <c r="I186" s="6" t="inlineStr">
        <is>
          <t>Low–Medium (2026: FOI fill, provisional)</t>
        </is>
      </c>
    </row>
    <row r="187">
      <c r="A187" s="6" t="inlineStr">
        <is>
          <t>San Fabian</t>
        </is>
      </c>
      <c r="B187" s="6" t="n">
        <v>2026</v>
      </c>
      <c r="C187" s="6" t="n">
        <v>4</v>
      </c>
      <c r="D187" s="6" t="inlineStr">
        <is>
          <t>Apr</t>
        </is>
      </c>
      <c r="E187" s="7">
        <f>Monthly_Estimates!F35</f>
        <v/>
      </c>
      <c r="F187" s="24">
        <f>E187/1000</f>
        <v/>
      </c>
      <c r="G187" s="11">
        <f>Monthly_Estimates!B35</f>
        <v/>
      </c>
      <c r="H187" s="6" t="inlineStr">
        <is>
          <t>San Fabian hybrid series (observed / pooled profile)</t>
        </is>
      </c>
      <c r="I187" s="6" t="inlineStr">
        <is>
          <t>Low–Medium (2026: FOI fill, provisional)</t>
        </is>
      </c>
    </row>
    <row r="188">
      <c r="A188" s="6" t="inlineStr">
        <is>
          <t>San Fabian</t>
        </is>
      </c>
      <c r="B188" s="6" t="n">
        <v>2026</v>
      </c>
      <c r="C188" s="6" t="n">
        <v>5</v>
      </c>
      <c r="D188" s="6" t="inlineStr">
        <is>
          <t>May</t>
        </is>
      </c>
      <c r="E188" s="7">
        <f>Monthly_Estimates!G35</f>
        <v/>
      </c>
      <c r="F188" s="24">
        <f>E188/1000</f>
        <v/>
      </c>
      <c r="G188" s="11">
        <f>Monthly_Estimates!B35</f>
        <v/>
      </c>
      <c r="H188" s="6" t="inlineStr">
        <is>
          <t>San Fabian hybrid series (observed / pooled profile)</t>
        </is>
      </c>
      <c r="I188" s="6" t="inlineStr">
        <is>
          <t>Low–Medium (2026: FOI fill, provisional)</t>
        </is>
      </c>
    </row>
    <row r="189">
      <c r="A189" s="6" t="inlineStr">
        <is>
          <t>San Fabian</t>
        </is>
      </c>
      <c r="B189" s="6" t="n">
        <v>2026</v>
      </c>
      <c r="C189" s="6" t="n">
        <v>6</v>
      </c>
      <c r="D189" s="6" t="inlineStr">
        <is>
          <t>Jun</t>
        </is>
      </c>
      <c r="E189" s="7">
        <f>Monthly_Estimates!H35</f>
        <v/>
      </c>
      <c r="F189" s="24">
        <f>E189/1000</f>
        <v/>
      </c>
      <c r="G189" s="11">
        <f>Monthly_Estimates!B35</f>
        <v/>
      </c>
      <c r="H189" s="6" t="inlineStr">
        <is>
          <t>San Fabian hybrid series (observed / pooled profile)</t>
        </is>
      </c>
      <c r="I189" s="6" t="inlineStr">
        <is>
          <t>Low–Medium (2026: FOI fill, provisional)</t>
        </is>
      </c>
    </row>
    <row r="190">
      <c r="A190" s="6" t="inlineStr">
        <is>
          <t>San Fabian</t>
        </is>
      </c>
      <c r="B190" s="6" t="n">
        <v>2026</v>
      </c>
      <c r="C190" s="6" t="n">
        <v>7</v>
      </c>
      <c r="D190" s="6" t="inlineStr">
        <is>
          <t>Jul</t>
        </is>
      </c>
      <c r="E190" s="7">
        <f>Monthly_Estimates!I35</f>
        <v/>
      </c>
      <c r="F190" s="24">
        <f>E190/1000</f>
        <v/>
      </c>
      <c r="G190" s="11">
        <f>Monthly_Estimates!B35</f>
        <v/>
      </c>
      <c r="H190" s="6" t="inlineStr">
        <is>
          <t>San Fabian hybrid series (observed / pooled profile)</t>
        </is>
      </c>
      <c r="I190" s="6" t="inlineStr">
        <is>
          <t>Low–Medium (2026: FOI fill, provisional)</t>
        </is>
      </c>
    </row>
    <row r="191">
      <c r="A191" s="6" t="inlineStr">
        <is>
          <t>San Fabian</t>
        </is>
      </c>
      <c r="B191" s="6" t="n">
        <v>2026</v>
      </c>
      <c r="C191" s="6" t="n">
        <v>8</v>
      </c>
      <c r="D191" s="6" t="inlineStr">
        <is>
          <t>Aug</t>
        </is>
      </c>
      <c r="E191" s="7">
        <f>Monthly_Estimates!J35</f>
        <v/>
      </c>
      <c r="F191" s="24">
        <f>E191/1000</f>
        <v/>
      </c>
      <c r="G191" s="11">
        <f>Monthly_Estimates!B35</f>
        <v/>
      </c>
      <c r="H191" s="6" t="inlineStr">
        <is>
          <t>San Fabian hybrid series (observed / pooled profile)</t>
        </is>
      </c>
      <c r="I191" s="6" t="inlineStr">
        <is>
          <t>Low–Medium (2026: FOI fill, provisional)</t>
        </is>
      </c>
    </row>
    <row r="192">
      <c r="A192" s="6" t="inlineStr">
        <is>
          <t>San Fabian</t>
        </is>
      </c>
      <c r="B192" s="6" t="n">
        <v>2026</v>
      </c>
      <c r="C192" s="6" t="n">
        <v>9</v>
      </c>
      <c r="D192" s="6" t="inlineStr">
        <is>
          <t>Sep</t>
        </is>
      </c>
      <c r="E192" s="7">
        <f>Monthly_Estimates!K35</f>
        <v/>
      </c>
      <c r="F192" s="24">
        <f>E192/1000</f>
        <v/>
      </c>
      <c r="G192" s="11">
        <f>Monthly_Estimates!B35</f>
        <v/>
      </c>
      <c r="H192" s="6" t="inlineStr">
        <is>
          <t>San Fabian hybrid series (observed / pooled profile)</t>
        </is>
      </c>
      <c r="I192" s="6" t="inlineStr">
        <is>
          <t>Low–Medium (2026: FOI fill, provisional)</t>
        </is>
      </c>
    </row>
    <row r="193">
      <c r="A193" s="6" t="inlineStr">
        <is>
          <t>San Fabian</t>
        </is>
      </c>
      <c r="B193" s="6" t="n">
        <v>2026</v>
      </c>
      <c r="C193" s="6" t="n">
        <v>10</v>
      </c>
      <c r="D193" s="6" t="inlineStr">
        <is>
          <t>Oct</t>
        </is>
      </c>
      <c r="E193" s="7">
        <f>Monthly_Estimates!L35</f>
        <v/>
      </c>
      <c r="F193" s="24">
        <f>E193/1000</f>
        <v/>
      </c>
      <c r="G193" s="11">
        <f>Monthly_Estimates!B35</f>
        <v/>
      </c>
      <c r="H193" s="6" t="inlineStr">
        <is>
          <t>San Fabian hybrid series (observed / pooled profile)</t>
        </is>
      </c>
      <c r="I193" s="6" t="inlineStr">
        <is>
          <t>Low–Medium (2026: FOI fill, provisional)</t>
        </is>
      </c>
    </row>
    <row r="194">
      <c r="A194" s="6" t="inlineStr">
        <is>
          <t>San Fabian</t>
        </is>
      </c>
      <c r="B194" s="6" t="n">
        <v>2026</v>
      </c>
      <c r="C194" s="6" t="n">
        <v>11</v>
      </c>
      <c r="D194" s="6" t="inlineStr">
        <is>
          <t>Nov</t>
        </is>
      </c>
      <c r="E194" s="7">
        <f>Monthly_Estimates!M35</f>
        <v/>
      </c>
      <c r="F194" s="24">
        <f>E194/1000</f>
        <v/>
      </c>
      <c r="G194" s="11">
        <f>Monthly_Estimates!B35</f>
        <v/>
      </c>
      <c r="H194" s="6" t="inlineStr">
        <is>
          <t>San Fabian hybrid series (observed / pooled profile)</t>
        </is>
      </c>
      <c r="I194" s="6" t="inlineStr">
        <is>
          <t>Low–Medium (2026: FOI fill, provisional)</t>
        </is>
      </c>
    </row>
    <row r="195">
      <c r="A195" s="6" t="inlineStr">
        <is>
          <t>San Fabian</t>
        </is>
      </c>
      <c r="B195" s="6" t="n">
        <v>2026</v>
      </c>
      <c r="C195" s="6" t="n">
        <v>12</v>
      </c>
      <c r="D195" s="6" t="inlineStr">
        <is>
          <t>Dec</t>
        </is>
      </c>
      <c r="E195" s="7">
        <f>Monthly_Estimates!N35</f>
        <v/>
      </c>
      <c r="F195" s="24">
        <f>E195/1000</f>
        <v/>
      </c>
      <c r="G195" s="11">
        <f>Monthly_Estimates!B35</f>
        <v/>
      </c>
      <c r="H195" s="6" t="inlineStr">
        <is>
          <t>San Fabian hybrid series (observed / pooled profile)</t>
        </is>
      </c>
      <c r="I195" s="6" t="inlineStr">
        <is>
          <t>Low–Medium (2026: FOI fill, provisional)</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118"/>
  <sheetViews>
    <sheetView showGridLines="0" tabSelected="1" workbookViewId="0">
      <selection activeCell="A103" sqref="A103:C104"/>
    </sheetView>
  </sheetViews>
  <sheetFormatPr baseColWidth="8" defaultColWidth="8.675925925925929" defaultRowHeight="14.4"/>
  <cols>
    <col width="58" customWidth="1" min="1" max="1"/>
    <col width="18" customWidth="1" min="2" max="2"/>
    <col width="20" customWidth="1" min="3" max="3"/>
    <col width="24" customWidth="1" min="4" max="4"/>
    <col width="14" customWidth="1" min="5" max="6"/>
    <col width="10" customWidth="1" min="7" max="7"/>
  </cols>
  <sheetData>
    <row r="1" ht="17.4" customHeight="1">
      <c r="A1" s="1" t="inlineStr">
        <is>
          <t>Tests of the estimation assumptions (live formulas)</t>
        </is>
      </c>
    </row>
    <row r="2">
      <c r="A2" s="2" t="inlineStr">
        <is>
          <t>Each test states what was checked, the numeric result and what it implies for the model.</t>
        </is>
      </c>
    </row>
    <row r="3">
      <c r="A3" s="23" t="inlineStr">
        <is>
          <t>T1 · Source concordance: FOI (secondary) vs primary data</t>
        </is>
      </c>
      <c r="B3" s="4" t="n"/>
      <c r="C3" s="4" t="n"/>
      <c r="D3" s="4" t="n"/>
      <c r="E3" s="4" t="n"/>
      <c r="F3" s="4" t="n"/>
    </row>
    <row r="4" ht="42" customHeight="1">
      <c r="A4" s="5" t="inlineStr">
        <is>
          <t>Municipality</t>
        </is>
      </c>
      <c r="B4" s="5" t="inlineStr">
        <is>
          <t>Year</t>
        </is>
      </c>
      <c r="C4" s="5" t="inlineStr">
        <is>
          <t>Primary (kg)</t>
        </is>
      </c>
      <c r="D4" s="5" t="inlineStr">
        <is>
          <t>FOI (kg)</t>
        </is>
      </c>
      <c r="E4" s="5" t="inlineStr">
        <is>
          <t>FOI ÷ primary</t>
        </is>
      </c>
      <c r="F4" s="5" t="inlineStr">
        <is>
          <t>FOI shortfall</t>
        </is>
      </c>
    </row>
    <row r="5">
      <c r="A5" s="6" t="inlineStr">
        <is>
          <t>San Fabian</t>
        </is>
      </c>
      <c r="B5" s="6" t="n">
        <v>2024</v>
      </c>
      <c r="C5" s="7">
        <f>Annual_Production!E10</f>
        <v/>
      </c>
      <c r="D5" s="7">
        <f>Annual_Production!B10</f>
        <v/>
      </c>
      <c r="E5" s="61">
        <f>D5/C5</f>
        <v/>
      </c>
      <c r="F5" s="61">
        <f>1-E5</f>
        <v/>
      </c>
    </row>
    <row r="6">
      <c r="A6" s="6" t="inlineStr">
        <is>
          <t>San Fabian</t>
        </is>
      </c>
      <c r="B6" s="6" t="n">
        <v>2025</v>
      </c>
      <c r="C6" s="7">
        <f>Annual_Production!F10</f>
        <v/>
      </c>
      <c r="D6" s="7">
        <f>Annual_Production!C10</f>
        <v/>
      </c>
      <c r="E6" s="61">
        <f>D6/C6</f>
        <v/>
      </c>
      <c r="F6" s="61">
        <f>1-E6</f>
        <v/>
      </c>
    </row>
    <row r="7">
      <c r="A7" s="6" t="inlineStr">
        <is>
          <t>Bani</t>
        </is>
      </c>
      <c r="B7" s="6" t="n">
        <v>2024</v>
      </c>
      <c r="C7" s="7">
        <f>Annual_Production!C23*1000</f>
        <v/>
      </c>
      <c r="D7" s="7">
        <f>Annual_Production!B6</f>
        <v/>
      </c>
      <c r="E7" s="61">
        <f>D7/C7</f>
        <v/>
      </c>
      <c r="F7" s="61">
        <f>1-E7</f>
        <v/>
      </c>
    </row>
    <row r="8">
      <c r="A8" s="6" t="inlineStr">
        <is>
          <t>Bani</t>
        </is>
      </c>
      <c r="B8" s="6" t="n">
        <v>2025</v>
      </c>
      <c r="C8" s="7">
        <f>Annual_Production!D23*1000</f>
        <v/>
      </c>
      <c r="D8" s="7">
        <f>Annual_Production!C6</f>
        <v/>
      </c>
      <c r="E8" s="61">
        <f>D8/C8</f>
        <v/>
      </c>
      <c r="F8" s="61">
        <f>1-E8</f>
        <v/>
      </c>
    </row>
    <row r="9">
      <c r="A9" s="2" t="inlineStr">
        <is>
          <t>Result: FOI is always below primary (7%–93% of it). FOI-only values are lower bounds. Bani is set to FOI by decision (Assumptions!B11); San Fabian uses primary.</t>
        </is>
      </c>
    </row>
    <row r="11">
      <c r="A11" s="23" t="inlineStr">
        <is>
          <t>T2 · Denominator audit of the handwritten calibration</t>
        </is>
      </c>
    </row>
    <row r="12">
      <c r="A12" s="6" t="inlineStr">
        <is>
          <t>Σ salt beds, full Alaminos master sheet</t>
        </is>
      </c>
      <c r="B12" s="7">
        <f>Alaminos_Beds!B4</f>
        <v/>
      </c>
    </row>
    <row r="13">
      <c r="A13" s="6" t="inlineStr">
        <is>
          <t>Bed count used on handwritten card</t>
        </is>
      </c>
      <c r="B13" s="7">
        <f>Assumptions!B9</f>
        <v/>
      </c>
    </row>
    <row r="14">
      <c r="A14" s="6" t="inlineStr">
        <is>
          <t>Full ÷ card</t>
        </is>
      </c>
      <c r="B14" s="9">
        <f>B12/B13</f>
        <v/>
      </c>
    </row>
    <row r="15">
      <c r="A15" s="6" t="inlineStr">
        <is>
          <t>x with full sheet (kg/bed/yr)</t>
        </is>
      </c>
      <c r="B15" s="10">
        <f>Alaminos_Beds!B9</f>
        <v/>
      </c>
    </row>
    <row r="16">
      <c r="A16" s="6" t="inlineStr">
        <is>
          <t>x on handwritten card</t>
        </is>
      </c>
      <c r="B16" s="10">
        <f>Alaminos_Beds!B12</f>
        <v/>
      </c>
    </row>
    <row r="17">
      <c r="A17" s="6" t="inlineStr">
        <is>
          <t>Card count equals cumulative beds through</t>
        </is>
      </c>
      <c r="B17" s="11">
        <f>Alaminos_Beds!B13</f>
        <v/>
      </c>
    </row>
    <row r="18">
      <c r="A18" s="2" t="inlineStr">
        <is>
          <t>Result: 3,444 is the running total through row 21 only; the 17 later rows add 3,966 beds. The full sheet halves x.</t>
        </is>
      </c>
    </row>
    <row r="20">
      <c r="A20" s="23" t="inlineStr">
        <is>
          <t>T3 · Physical plausibility of x (independent yield checks)</t>
        </is>
      </c>
      <c r="B20" s="4" t="n"/>
      <c r="C20" s="4" t="n"/>
      <c r="D20" s="4" t="n"/>
    </row>
    <row r="21" ht="42" customHeight="1">
      <c r="A21" s="5" t="inlineStr">
        <is>
          <t>Check</t>
        </is>
      </c>
      <c r="B21" s="5" t="inlineStr">
        <is>
          <t>Value</t>
        </is>
      </c>
      <c r="C21" s="5" t="inlineStr">
        <is>
          <t>Unit</t>
        </is>
      </c>
      <c r="D21" s="5" t="inlineStr">
        <is>
          <t>Note</t>
        </is>
      </c>
    </row>
    <row r="22">
      <c r="A22" s="12" t="inlineStr">
        <is>
          <t>Alaminos 2025: FOI ÷ bed area</t>
        </is>
      </c>
      <c r="B22" s="10">
        <f>Alaminos_Beds!B7/1000/Alaminos_Beds!B5</f>
        <v/>
      </c>
      <c r="C22" s="6" t="inlineStr">
        <is>
          <t>t/ha/yr</t>
        </is>
      </c>
      <c r="D22" s="13" t="inlineStr">
        <is>
          <t>FOI production over surveyed bed area</t>
        </is>
      </c>
    </row>
    <row r="23">
      <c r="A23" s="12" t="inlineStr">
        <is>
          <t>x ÷ average bed area</t>
        </is>
      </c>
      <c r="B23" s="10">
        <f>Assumptions!B7/Assumptions!B8</f>
        <v/>
      </c>
      <c r="C23" s="6" t="inlineStr">
        <is>
          <t>kg/m²/yr</t>
        </is>
      </c>
      <c r="D23" s="13" t="inlineStr">
        <is>
          <t>Same quantity per m²</t>
        </is>
      </c>
    </row>
    <row r="24">
      <c r="A24" s="12" t="inlineStr">
        <is>
          <t>Bani 2025 primary yield</t>
        </is>
      </c>
      <c r="B24" s="10">
        <f>Annual_Production!D23/Annual_Production!B24</f>
        <v/>
      </c>
      <c r="C24" s="6" t="inlineStr">
        <is>
          <t>t/ha/yr</t>
        </is>
      </c>
      <c r="D24" s="13" t="inlineStr">
        <is>
          <t>Master-sheet reports; equals 40 t/ha × area</t>
        </is>
      </c>
    </row>
    <row r="25">
      <c r="A25" s="12" t="inlineStr">
        <is>
          <t>Pangasinan 2021 (OPAg): 64,156.36 MT ÷ 1,432.4 ha</t>
        </is>
      </c>
      <c r="B25" s="14">
        <f>64156.36/1432.4</f>
        <v/>
      </c>
      <c r="C25" s="6" t="inlineStr">
        <is>
          <t>t/ha/yr</t>
        </is>
      </c>
      <c r="D25" s="13" t="inlineStr">
        <is>
          <t>pangasinan.gov.ph/?p=108708</t>
        </is>
      </c>
    </row>
    <row r="26">
      <c r="A26" s="12" t="inlineStr">
        <is>
          <t>Range of the three yields (max ÷ min − 1)</t>
        </is>
      </c>
      <c r="B26" s="61">
        <f>MAX(B22,B24,B25)/MIN(B22,B24,B25)-1</f>
        <v/>
      </c>
      <c r="C26" s="6" t="inlineStr">
        <is>
          <t>%</t>
        </is>
      </c>
      <c r="D26" s="13" t="inlineStr">
        <is>
          <t>Spread across independent sources</t>
        </is>
      </c>
    </row>
    <row r="27">
      <c r="A27" s="12" t="inlineStr">
        <is>
          <t>Master-sheet col. V (= col. U × 30) summed, Alaminos</t>
        </is>
      </c>
      <c r="B27" s="15" t="n">
        <v>5496300</v>
      </c>
      <c r="C27" s="6" t="inlineStr">
        <is>
          <t>kg</t>
        </is>
      </c>
      <c r="D27" s="13" t="inlineStr">
        <is>
          <t>Input from master sheet</t>
        </is>
      </c>
    </row>
    <row r="28">
      <c r="A28" s="12" t="inlineStr">
        <is>
          <t>… as multiple of FOI full-year total</t>
        </is>
      </c>
      <c r="B28" s="10">
        <f>B27/Alaminos_Beds!B7</f>
        <v/>
      </c>
      <c r="C28" s="6" t="inlineStr">
        <is>
          <t>×</t>
        </is>
      </c>
      <c r="D28" s="13" t="inlineStr">
        <is>
          <t>One month of col. V vs a whole FOI year</t>
        </is>
      </c>
    </row>
    <row r="29">
      <c r="A29" s="12" t="inlineStr">
        <is>
          <t>… implied yield for ONE month</t>
        </is>
      </c>
      <c r="B29" s="10">
        <f>B27/1000/Alaminos_Beds!B5</f>
        <v/>
      </c>
      <c r="C29" s="6" t="inlineStr">
        <is>
          <t>t/ha</t>
        </is>
      </c>
      <c r="D29" s="13" t="inlineStr">
        <is>
          <t>Compare with ~40–45 t/ha for a whole year</t>
        </is>
      </c>
    </row>
    <row r="30">
      <c r="A30" s="2" t="inlineStr">
        <is>
          <t>Result: three independent annual yields fall within about 12% of each other (≈40–45 t/ha), supporting x = 144 kg per 35 m² bed. Column V (U × 30) implies &gt;200 t/ha in a single month, so column U is read as kg per month instead (T10).</t>
        </is>
      </c>
    </row>
    <row r="32">
      <c r="A32" s="23" t="inlineStr">
        <is>
          <t>T4 · Temporal stability of San Fabian series (coefficient of variation; lower = more consistent)</t>
        </is>
      </c>
      <c r="B32" s="4" t="n"/>
      <c r="C32" s="4" t="n"/>
      <c r="D32" s="4" t="n"/>
      <c r="E32" s="4" t="n"/>
      <c r="F32" s="4" t="n"/>
      <c r="G32" s="4" t="n"/>
    </row>
    <row r="33" ht="42" customHeight="1">
      <c r="A33" s="5" t="inlineStr">
        <is>
          <t>Series</t>
        </is>
      </c>
      <c r="B33" s="5" t="inlineStr">
        <is>
          <t>2024 / 2023</t>
        </is>
      </c>
      <c r="C33" s="5" t="inlineStr">
        <is>
          <t>2025 / 2024</t>
        </is>
      </c>
      <c r="D33" s="5" t="inlineStr">
        <is>
          <t>2026 / 2025</t>
        </is>
      </c>
      <c r="E33" s="5" t="inlineStr">
        <is>
          <t>Mean</t>
        </is>
      </c>
      <c r="F33" s="5" t="inlineStr">
        <is>
          <t>Std dev</t>
        </is>
      </c>
      <c r="G33" s="5" t="inlineStr">
        <is>
          <t>CV</t>
        </is>
      </c>
    </row>
    <row r="34">
      <c r="A34" s="12" t="inlineStr">
        <is>
          <t>A · FOI only (2024, 2025, 2026)</t>
        </is>
      </c>
      <c r="B34" s="7">
        <f>Annual_Production!B10</f>
        <v/>
      </c>
      <c r="C34" s="7">
        <f>Annual_Production!C10</f>
        <v/>
      </c>
      <c r="D34" s="7">
        <f>Annual_Production!D10</f>
        <v/>
      </c>
      <c r="E34" s="16">
        <f>AVERAGE(B34:D34)</f>
        <v/>
      </c>
      <c r="F34" s="16">
        <f>STDEV(B34:D34)</f>
        <v/>
      </c>
      <c r="G34" s="61">
        <f>F34/E34</f>
        <v/>
      </c>
    </row>
    <row r="35">
      <c r="A35" s="12" t="inlineStr">
        <is>
          <t>B · Handwritten card (FOI 2024, primary 2025, FOI 2026)</t>
        </is>
      </c>
      <c r="B35" s="7">
        <f>Annual_Production!B10</f>
        <v/>
      </c>
      <c r="C35" s="7">
        <f>Annual_Production!F10</f>
        <v/>
      </c>
      <c r="D35" s="7">
        <f>Annual_Production!D10</f>
        <v/>
      </c>
      <c r="E35" s="16">
        <f>AVERAGE(B35:D35)</f>
        <v/>
      </c>
      <c r="F35" s="16">
        <f>STDEV(B35:D35)</f>
        <v/>
      </c>
      <c r="G35" s="61">
        <f>F35/E35</f>
        <v/>
      </c>
    </row>
    <row r="36">
      <c r="A36" s="12" t="inlineStr">
        <is>
          <t>C · Strict hierarchy (primary 2024, primary 2025, FOI 2026)</t>
        </is>
      </c>
      <c r="B36" s="7">
        <f>Annual_Production!E10</f>
        <v/>
      </c>
      <c r="C36" s="7">
        <f>Annual_Production!F10</f>
        <v/>
      </c>
      <c r="D36" s="7">
        <f>Annual_Production!D10</f>
        <v/>
      </c>
      <c r="E36" s="16">
        <f>AVERAGE(B36:D36)</f>
        <v/>
      </c>
      <c r="F36" s="16">
        <f>STDEV(B36:D36)</f>
        <v/>
      </c>
      <c r="G36" s="61">
        <f>F36/E36</f>
        <v/>
      </c>
    </row>
    <row r="37">
      <c r="A37" s="12" t="inlineStr">
        <is>
          <t>D · Primary only, 2023–2025</t>
        </is>
      </c>
      <c r="B37" s="7">
        <f>Annual_Production!B29*1000</f>
        <v/>
      </c>
      <c r="C37" s="7">
        <f>Annual_Production!E10</f>
        <v/>
      </c>
      <c r="D37" s="7">
        <f>Annual_Production!F10</f>
        <v/>
      </c>
      <c r="E37" s="16">
        <f>AVERAGE(B37:D37)</f>
        <v/>
      </c>
      <c r="F37" s="16">
        <f>STDEV(B37:D37)</f>
        <v/>
      </c>
      <c r="G37" s="61">
        <f>F37/E37</f>
        <v/>
      </c>
    </row>
    <row r="38">
      <c r="A38" s="2" t="inlineStr">
        <is>
          <t>Result: swapping FOI for primary values cuts the CV from 15.9% to about 7.4%. CV of N = CV of Y, so this is independent of x. Production area grew 0.04 → 0.06 ha in 2025, which can legitimately lift output.</t>
        </is>
      </c>
    </row>
    <row r="40">
      <c r="A40" s="23" t="inlineStr">
        <is>
          <t>T5 · Area consistency of implied beds (from Salt_Beds)</t>
        </is>
      </c>
      <c r="B40" s="4" t="n"/>
      <c r="C40" s="4" t="n"/>
    </row>
    <row r="41" ht="42" customHeight="1">
      <c r="A41" s="5" t="inlineStr">
        <is>
          <t>Municipality</t>
        </is>
      </c>
      <c r="B41" s="5" t="inlineStr">
        <is>
          <t>Implied ÷ reported area</t>
        </is>
      </c>
      <c r="C41" s="5" t="inlineStr">
        <is>
          <t>Result</t>
        </is>
      </c>
    </row>
    <row r="42">
      <c r="A42" s="6" t="inlineStr">
        <is>
          <t>Alaminos City</t>
        </is>
      </c>
      <c r="B42" s="17">
        <f>Salt_Beds!K12</f>
        <v/>
      </c>
      <c r="C42" s="11">
        <f>Salt_Beds!M12</f>
        <v/>
      </c>
    </row>
    <row r="43">
      <c r="A43" s="6" t="inlineStr">
        <is>
          <t>Bani</t>
        </is>
      </c>
      <c r="B43" s="17">
        <f>Salt_Beds!K14</f>
        <v/>
      </c>
      <c r="C43" s="11">
        <f>Salt_Beds!M14</f>
        <v/>
      </c>
    </row>
    <row r="44">
      <c r="A44" s="6" t="inlineStr">
        <is>
          <t>San Fabian</t>
        </is>
      </c>
      <c r="B44" s="17">
        <f>Salt_Beds!K18</f>
        <v/>
      </c>
      <c r="C44" s="11">
        <f>Salt_Beds!M18</f>
        <v/>
      </c>
    </row>
    <row r="45">
      <c r="A45" s="2" t="inlineStr">
        <is>
          <t>Result: Bani is ≈7% of reported area on the FOI basis (≈98% on the primary basis). San Fabian implies ≈43× its reported 0.06 ha, so the check does not apply: cooked salt is not area-bound and its count is a bed-equivalent.</t>
        </is>
      </c>
    </row>
    <row r="47">
      <c r="A47" s="23" t="inlineStr">
        <is>
          <t>T6 · Year-over-year jump in FOI totals (2025 ÷ 2024) – coverage vs growth</t>
        </is>
      </c>
      <c r="B47" s="4" t="n"/>
      <c r="C47" s="4" t="n"/>
      <c r="D47" s="4" t="n"/>
    </row>
    <row r="48" ht="42" customHeight="1">
      <c r="A48" s="5" t="inlineStr">
        <is>
          <t>Municipality</t>
        </is>
      </c>
      <c r="B48" s="5" t="inlineStr">
        <is>
          <t>FOI 2024 (kg)</t>
        </is>
      </c>
      <c r="C48" s="5" t="inlineStr">
        <is>
          <t>FOI 2025 (kg)</t>
        </is>
      </c>
      <c r="D48" s="5" t="inlineStr">
        <is>
          <t>Ratio</t>
        </is>
      </c>
    </row>
    <row r="49">
      <c r="A49" s="6" t="inlineStr">
        <is>
          <t>Alaminos City</t>
        </is>
      </c>
      <c r="B49" s="7">
        <f>Annual_Production!B4</f>
        <v/>
      </c>
      <c r="C49" s="7">
        <f>Annual_Production!C4</f>
        <v/>
      </c>
      <c r="D49" s="9">
        <f>C49/B49</f>
        <v/>
      </c>
    </row>
    <row r="50">
      <c r="A50" s="6" t="inlineStr">
        <is>
          <t>Anda</t>
        </is>
      </c>
      <c r="B50" s="7">
        <f>Annual_Production!B5</f>
        <v/>
      </c>
      <c r="C50" s="7">
        <f>Annual_Production!C5</f>
        <v/>
      </c>
      <c r="D50" s="9">
        <f>C50/B50</f>
        <v/>
      </c>
    </row>
    <row r="51">
      <c r="A51" s="6" t="inlineStr">
        <is>
          <t>Bani</t>
        </is>
      </c>
      <c r="B51" s="7">
        <f>Annual_Production!B6</f>
        <v/>
      </c>
      <c r="C51" s="7">
        <f>Annual_Production!C6</f>
        <v/>
      </c>
      <c r="D51" s="9">
        <f>C51/B51</f>
        <v/>
      </c>
    </row>
    <row r="52">
      <c r="A52" s="6" t="inlineStr">
        <is>
          <t>Bolinao</t>
        </is>
      </c>
      <c r="B52" s="7">
        <f>Annual_Production!B7</f>
        <v/>
      </c>
      <c r="C52" s="7">
        <f>Annual_Production!C7</f>
        <v/>
      </c>
      <c r="D52" s="9">
        <f>C52/B52</f>
        <v/>
      </c>
    </row>
    <row r="53">
      <c r="A53" s="6" t="inlineStr">
        <is>
          <t>Dasol</t>
        </is>
      </c>
      <c r="B53" s="7">
        <f>Annual_Production!B8</f>
        <v/>
      </c>
      <c r="C53" s="7">
        <f>Annual_Production!C8</f>
        <v/>
      </c>
      <c r="D53" s="9">
        <f>C53/B53</f>
        <v/>
      </c>
    </row>
    <row r="54">
      <c r="A54" s="6" t="inlineStr">
        <is>
          <t>Infanta</t>
        </is>
      </c>
      <c r="B54" s="7">
        <f>Annual_Production!B9</f>
        <v/>
      </c>
      <c r="C54" s="7">
        <f>Annual_Production!C9</f>
        <v/>
      </c>
      <c r="D54" s="9">
        <f>C54/B54</f>
        <v/>
      </c>
    </row>
    <row r="55">
      <c r="A55" s="6" t="inlineStr">
        <is>
          <t>San Fabian</t>
        </is>
      </c>
      <c r="B55" s="7">
        <f>Annual_Production!B10</f>
        <v/>
      </c>
      <c r="C55" s="7">
        <f>Annual_Production!C10</f>
        <v/>
      </c>
      <c r="D55" s="9">
        <f>C55/B55</f>
        <v/>
      </c>
    </row>
    <row r="56">
      <c r="A56" s="18" t="inlineStr">
        <is>
          <t>Province</t>
        </is>
      </c>
      <c r="B56" s="7">
        <f>Annual_Production!B11</f>
        <v/>
      </c>
      <c r="C56" s="7">
        <f>Annual_Production!C11</f>
        <v/>
      </c>
      <c r="D56" s="19">
        <f>C56/B56</f>
        <v/>
      </c>
    </row>
    <row r="58">
      <c r="A58" s="2" t="inlineStr">
        <is>
          <t>Result: Bolinao ×204 and Anda ×11.5 cannot be physical growth. 2024 FOI under-reports; calibration and bed counts use 2025. Alaminos 2024 production implies 3,092 beds vs 7,410 surveyed – consistent with coverage, not construction.</t>
        </is>
      </c>
    </row>
    <row r="60">
      <c r="A60" s="23" t="inlineStr">
        <is>
          <t>T7 · Monthly allocation methods, leave-one-year-out (error vs observed provincial shares)</t>
        </is>
      </c>
      <c r="B60" s="4" t="n"/>
      <c r="C60" s="4" t="n"/>
      <c r="D60" s="4" t="n"/>
    </row>
    <row r="61" ht="42" customHeight="1">
      <c r="A61" s="5" t="inlineStr">
        <is>
          <t>Method</t>
        </is>
      </c>
      <c r="B61" s="5" t="inlineStr">
        <is>
          <t>Held-out year</t>
        </is>
      </c>
      <c r="C61" s="5" t="inlineStr">
        <is>
          <t>Mean abs. error (pp of annual)</t>
        </is>
      </c>
      <c r="D61" s="5" t="inlineStr">
        <is>
          <t>Misallocated share of annual output</t>
        </is>
      </c>
    </row>
    <row r="62">
      <c r="A62" s="6" t="inlineStr">
        <is>
          <t>Uniform 1/12</t>
        </is>
      </c>
      <c r="B62" s="6" t="n">
        <v>2024</v>
      </c>
      <c r="C62" s="9">
        <f>SUMPRODUCT(ABS(Seasonal_Profile!$B$12:$M$12-Seasonal_Profile!$B$8:$M$8))/12*100</f>
        <v/>
      </c>
      <c r="D62" s="61">
        <f>SUMPRODUCT(ABS(Seasonal_Profile!$B$12:$M$12-Seasonal_Profile!$B$8:$M$8))/2</f>
        <v/>
      </c>
    </row>
    <row r="63">
      <c r="A63" s="6" t="inlineStr">
        <is>
          <t>Uniform 1/12</t>
        </is>
      </c>
      <c r="B63" s="6" t="n">
        <v>2025</v>
      </c>
      <c r="C63" s="9">
        <f>SUMPRODUCT(ABS(Seasonal_Profile!$B$12:$M$12-Seasonal_Profile!$B$9:$M$9))/12*100</f>
        <v/>
      </c>
      <c r="D63" s="61">
        <f>SUMPRODUCT(ABS(Seasonal_Profile!$B$12:$M$12-Seasonal_Profile!$B$9:$M$9))/2</f>
        <v/>
      </c>
    </row>
    <row r="64">
      <c r="A64" s="6" t="inlineStr">
        <is>
          <t>Linear arithmetic (a1 = 8%)</t>
        </is>
      </c>
      <c r="B64" s="6" t="n">
        <v>2024</v>
      </c>
      <c r="C64" s="9">
        <f>SUMPRODUCT(ABS(Seasonal_Profile!$B$11:$M$11-Seasonal_Profile!$B$8:$M$8))/12*100</f>
        <v/>
      </c>
      <c r="D64" s="61">
        <f>SUMPRODUCT(ABS(Seasonal_Profile!$B$11:$M$11-Seasonal_Profile!$B$8:$M$8))/2</f>
        <v/>
      </c>
    </row>
    <row r="65">
      <c r="A65" s="6" t="inlineStr">
        <is>
          <t>Linear arithmetic (a1 = 8%)</t>
        </is>
      </c>
      <c r="B65" s="6" t="n">
        <v>2025</v>
      </c>
      <c r="C65" s="9">
        <f>SUMPRODUCT(ABS(Seasonal_Profile!$B$11:$M$11-Seasonal_Profile!$B$9:$M$9))/12*100</f>
        <v/>
      </c>
      <c r="D65" s="61">
        <f>SUMPRODUCT(ABS(Seasonal_Profile!$B$11:$M$11-Seasonal_Profile!$B$9:$M$9))/2</f>
        <v/>
      </c>
    </row>
    <row r="66">
      <c r="A66" s="6" t="inlineStr">
        <is>
          <t>Empirical profile from the other year</t>
        </is>
      </c>
      <c r="B66" s="6" t="n">
        <v>2024</v>
      </c>
      <c r="C66" s="9">
        <f>SUMPRODUCT(ABS(Seasonal_Profile!$B$9:$M$9-Seasonal_Profile!$B$8:$M$8))/12*100</f>
        <v/>
      </c>
      <c r="D66" s="61">
        <f>SUMPRODUCT(ABS(Seasonal_Profile!$B$9:$M$9-Seasonal_Profile!$B$8:$M$8))/2</f>
        <v/>
      </c>
    </row>
    <row r="67">
      <c r="A67" s="6" t="inlineStr">
        <is>
          <t>Empirical profile from the other year</t>
        </is>
      </c>
      <c r="B67" s="6" t="n">
        <v>2025</v>
      </c>
      <c r="C67" s="9">
        <f>SUMPRODUCT(ABS(Seasonal_Profile!$B$8:$M$8-Seasonal_Profile!$B$9:$M$9))/12*100</f>
        <v/>
      </c>
      <c r="D67" s="61">
        <f>SUMPRODUCT(ABS(Seasonal_Profile!$B$8:$M$8-Seasonal_Profile!$B$9:$M$9))/2</f>
        <v/>
      </c>
    </row>
    <row r="69">
      <c r="A69" s="18" t="inlineStr">
        <is>
          <t>Mean misallocation – uniform</t>
        </is>
      </c>
      <c r="D69" s="64">
        <f>AVERAGE(D62:D63)</f>
        <v/>
      </c>
    </row>
    <row r="70">
      <c r="A70" s="18" t="inlineStr">
        <is>
          <t>Mean misallocation – linear arithmetic</t>
        </is>
      </c>
      <c r="D70" s="64">
        <f>AVERAGE(D64:D65)</f>
        <v/>
      </c>
    </row>
    <row r="71">
      <c r="A71" s="18" t="inlineStr">
        <is>
          <t>Mean misallocation – empirical cross-year profile</t>
        </is>
      </c>
      <c r="D71" s="64">
        <f>AVERAGE(D66:D67)</f>
        <v/>
      </c>
    </row>
    <row r="72">
      <c r="A72" s="2" t="inlineStr">
        <is>
          <t>Result: linear arithmetic misallocates about half of annual output, no better than uniform; an empirical profile transferred from a different year halves that error. Observed shares peak at 25–37% in April, far from an 8%–8.7% monthly range.</t>
        </is>
      </c>
    </row>
    <row r="74">
      <c r="A74" s="23" t="inlineStr">
        <is>
          <t>T8 · Share of annual output placed outside a primary-stated production window</t>
        </is>
      </c>
      <c r="B74" s="4" t="n"/>
      <c r="C74" s="4" t="n"/>
    </row>
    <row r="75" ht="42" customHeight="1">
      <c r="A75" s="5" t="inlineStr">
        <is>
          <t>Method</t>
        </is>
      </c>
      <c r="B75" s="5" t="inlineStr">
        <is>
          <t>Bani (Jan–Apr)</t>
        </is>
      </c>
      <c r="C75" s="5" t="inlineStr">
        <is>
          <t>San Fabian (Nov–May)</t>
        </is>
      </c>
    </row>
    <row r="76">
      <c r="A76" s="6" t="inlineStr">
        <is>
          <t>Linear arithmetic (a1 = 8%)</t>
        </is>
      </c>
      <c r="B76" s="61">
        <f>1-SUMPRODUCT(Seasonal_Profile!$B$11:$M$11,Assumptions!$D$15:$O$15)</f>
        <v/>
      </c>
      <c r="C76" s="61">
        <f>1-SUMPRODUCT(Seasonal_Profile!$B$11:$M$11,Assumptions!$D$19:$O$19)</f>
        <v/>
      </c>
    </row>
    <row r="77">
      <c r="A77" s="6" t="inlineStr">
        <is>
          <t>Uniform 1/12</t>
        </is>
      </c>
      <c r="B77" s="61">
        <f>1-SUMPRODUCT(Seasonal_Profile!$B$12:$M$12,Assumptions!$D$15:$O$15)</f>
        <v/>
      </c>
      <c r="C77" s="61">
        <f>1-SUMPRODUCT(Seasonal_Profile!$B$12:$M$12,Assumptions!$D$19:$O$19)</f>
        <v/>
      </c>
    </row>
    <row r="78">
      <c r="A78" s="6" t="inlineStr">
        <is>
          <t>Observed provincial 2025 profile</t>
        </is>
      </c>
      <c r="B78" s="61">
        <f>1-SUMPRODUCT(Seasonal_Profile!$B$9:$M$9,Assumptions!$D$15:$O$15)</f>
        <v/>
      </c>
      <c r="C78" s="61">
        <f>1-SUMPRODUCT(Seasonal_Profile!$B$9:$M$9,Assumptions!$D$19:$O$19)</f>
        <v/>
      </c>
    </row>
    <row r="79">
      <c r="A79" s="6" t="inlineStr">
        <is>
          <t>Primary window (flat inside window)</t>
        </is>
      </c>
      <c r="B79" s="61">
        <f>1-SUMPRODUCT(Assumptions!$D$15:$O$15/SUM(Assumptions!$D$15:$O$15),Assumptions!$D$15:$O$15)</f>
        <v/>
      </c>
      <c r="C79" s="61">
        <f>1-SUMPRODUCT(Assumptions!$D$19:$O$19/SUM(Assumptions!$D$19:$O$19),Assumptions!$D$19:$O$19)</f>
        <v/>
      </c>
    </row>
    <row r="81">
      <c r="A81" s="2" t="inlineStr">
        <is>
          <t>Result: even the observed provincial profile puts &gt;50% of Bani's output outside its recorded Jan–Apr window; windows from primary notes are therefore applied to Bani and San Fabian.</t>
        </is>
      </c>
    </row>
    <row r="83">
      <c r="A83" s="23" t="inlineStr">
        <is>
          <t>T9 · External benchmark: OPAg 2021 (Pangasinan Provincial Government) vs FOI 2025</t>
        </is>
      </c>
      <c r="B83" s="4" t="n"/>
      <c r="C83" s="4" t="n"/>
      <c r="D83" s="4" t="n"/>
    </row>
    <row r="84" ht="42" customHeight="1">
      <c r="A84" s="5" t="inlineStr">
        <is>
          <t>Municipality</t>
        </is>
      </c>
      <c r="B84" s="5" t="inlineStr">
        <is>
          <t>OPAg 2021 (MT)</t>
        </is>
      </c>
      <c r="C84" s="5" t="inlineStr">
        <is>
          <t>FOI 2025 (MT)</t>
        </is>
      </c>
      <c r="D84" s="5" t="inlineStr">
        <is>
          <t>FOI ÷ OPAg</t>
        </is>
      </c>
    </row>
    <row r="85">
      <c r="A85" s="6" t="inlineStr">
        <is>
          <t>Alaminos City</t>
        </is>
      </c>
      <c r="B85" s="65" t="n">
        <v>5208</v>
      </c>
      <c r="C85" s="66">
        <f>Annual_Production!C4/1000</f>
        <v/>
      </c>
      <c r="D85" s="61">
        <f>C85/B85</f>
        <v/>
      </c>
    </row>
    <row r="86">
      <c r="A86" s="6" t="inlineStr">
        <is>
          <t>Anda</t>
        </is>
      </c>
      <c r="B86" s="65" t="n">
        <v>3750</v>
      </c>
      <c r="C86" s="66">
        <f>Annual_Production!C5/1000</f>
        <v/>
      </c>
      <c r="D86" s="61">
        <f>C86/B86</f>
        <v/>
      </c>
    </row>
    <row r="87">
      <c r="A87" s="6" t="inlineStr">
        <is>
          <t>Bani</t>
        </is>
      </c>
      <c r="B87" s="65" t="n">
        <v>4617</v>
      </c>
      <c r="C87" s="66">
        <f>Annual_Production!C6/1000</f>
        <v/>
      </c>
      <c r="D87" s="61">
        <f>C87/B87</f>
        <v/>
      </c>
    </row>
    <row r="88">
      <c r="A88" s="6" t="inlineStr">
        <is>
          <t>Bolinao</t>
        </is>
      </c>
      <c r="B88" s="65" t="n">
        <v>12240</v>
      </c>
      <c r="C88" s="66">
        <f>Annual_Production!C7/1000</f>
        <v/>
      </c>
      <c r="D88" s="61">
        <f>C88/B88</f>
        <v/>
      </c>
    </row>
    <row r="89">
      <c r="A89" s="6" t="inlineStr">
        <is>
          <t>Dasol</t>
        </is>
      </c>
      <c r="B89" s="65" t="n">
        <v>24000</v>
      </c>
      <c r="C89" s="66">
        <f>Annual_Production!C8/1000</f>
        <v/>
      </c>
      <c r="D89" s="61">
        <f>C89/B89</f>
        <v/>
      </c>
    </row>
    <row r="90">
      <c r="A90" s="6" t="inlineStr">
        <is>
          <t>Infanta</t>
        </is>
      </c>
      <c r="B90" s="65" t="n">
        <v>9622.799999999999</v>
      </c>
      <c r="C90" s="66">
        <f>Annual_Production!C9/1000</f>
        <v/>
      </c>
      <c r="D90" s="61">
        <f>C90/B90</f>
        <v/>
      </c>
    </row>
    <row r="91">
      <c r="A91" s="6" t="inlineStr">
        <is>
          <t>San Fabian</t>
        </is>
      </c>
      <c r="B91" s="13" t="inlineStr">
        <is>
          <t>not listed</t>
        </is>
      </c>
      <c r="C91" s="66">
        <f>Annual_Production!C10/1000</f>
        <v/>
      </c>
      <c r="D91" s="13" t="inlineStr">
        <is>
          <t>n/a</t>
        </is>
      </c>
    </row>
    <row r="92">
      <c r="A92" s="18" t="inlineStr">
        <is>
          <t>Province (all towns)</t>
        </is>
      </c>
      <c r="B92" s="65" t="n">
        <v>64156.36</v>
      </c>
      <c r="C92" s="66">
        <f>Annual_Production!C11/1000</f>
        <v/>
      </c>
      <c r="D92" s="64">
        <f>C92/B92</f>
        <v/>
      </c>
    </row>
    <row r="94">
      <c r="A94" s="23" t="inlineStr">
        <is>
          <t>Dasol bed benchmark</t>
        </is>
      </c>
    </row>
    <row r="95">
      <c r="A95" s="6" t="inlineStr">
        <is>
          <t>OPAg: Dasol banigan reported (2021, 'more than')</t>
        </is>
      </c>
      <c r="B95" s="15" t="n">
        <v>10000</v>
      </c>
    </row>
    <row r="96">
      <c r="A96" s="6" t="inlineStr">
        <is>
          <t>OPAg kg per banigan (24,000 MT ÷ 10,000)</t>
        </is>
      </c>
      <c r="B96" s="16">
        <f>B89*1000/B95</f>
        <v/>
      </c>
    </row>
    <row r="97">
      <c r="A97" s="6" t="inlineStr">
        <is>
          <t>Alaminos x (kg/bed/yr)</t>
        </is>
      </c>
      <c r="B97" s="24">
        <f>Assumptions!B7</f>
        <v/>
      </c>
    </row>
    <row r="98">
      <c r="A98" s="6" t="inlineStr">
        <is>
          <t>Dasol banigan ÷ Alaminos bed (production per unit)</t>
        </is>
      </c>
      <c r="B98" s="56">
        <f>B96/B97</f>
        <v/>
      </c>
    </row>
    <row r="99">
      <c r="A99" s="6" t="inlineStr">
        <is>
          <t>Our Dasol estimate (FOI 2025 ÷ x)</t>
        </is>
      </c>
      <c r="B99" s="16">
        <f>Salt_Beds!D16</f>
        <v/>
      </c>
    </row>
    <row r="101">
      <c r="A101" s="2" t="inlineStr">
        <is>
          <t>Result: FOI is a small fraction of OPAg's 2021 totals (province ≈15%, Dasol ≈3%), so FOI-based annual totals and bed counts are lower bounds. Dasol banigan produce ≈17× more per unit than Alaminos beds, so x does not transfer across bed sizes without a local bed-size survey.</t>
        </is>
      </c>
    </row>
    <row r="103">
      <c r="A103" s="23" t="inlineStr">
        <is>
          <t>T10 · Alaminos primary production: master col. U read as kg per month</t>
        </is>
      </c>
      <c r="B103" s="4" t="n"/>
      <c r="C103" s="4" t="n"/>
    </row>
    <row r="104" ht="42" customHeight="1">
      <c r="A104" s="5" t="inlineStr">
        <is>
          <t>Check</t>
        </is>
      </c>
      <c r="B104" s="5" t="inlineStr">
        <is>
          <t>Value</t>
        </is>
      </c>
      <c r="C104" s="5" t="inlineStr">
        <is>
          <t>Unit</t>
        </is>
      </c>
    </row>
    <row r="105">
      <c r="A105" s="6" t="inlineStr">
        <is>
          <t>Σ master col. U, Alaminos (read as kg per month)</t>
        </is>
      </c>
      <c r="B105" s="7">
        <f>Alaminos_Beds!B14</f>
        <v/>
      </c>
      <c r="C105" s="6" t="inlineStr">
        <is>
          <t>kg/month</t>
        </is>
      </c>
    </row>
    <row r="106">
      <c r="A106" s="6" t="inlineStr">
        <is>
          <t>Season months (Dec–May)</t>
        </is>
      </c>
      <c r="B106" s="26">
        <f>Assumptions!B25</f>
        <v/>
      </c>
      <c r="C106" s="6" t="inlineStr">
        <is>
          <t>months</t>
        </is>
      </c>
    </row>
    <row r="107">
      <c r="A107" s="6" t="inlineStr">
        <is>
          <t>Primary annual = U × months</t>
        </is>
      </c>
      <c r="B107" s="16">
        <f>B105*B106</f>
        <v/>
      </c>
      <c r="C107" s="6" t="inlineStr">
        <is>
          <t>kg</t>
        </is>
      </c>
    </row>
    <row r="108">
      <c r="A108" s="6" t="inlineStr">
        <is>
          <t>FOI 2025</t>
        </is>
      </c>
      <c r="B108" s="7">
        <f>Annual_Production!C4</f>
        <v/>
      </c>
      <c r="C108" s="6" t="inlineStr">
        <is>
          <t>kg</t>
        </is>
      </c>
    </row>
    <row r="109">
      <c r="A109" s="6" t="inlineStr">
        <is>
          <t>Primary ÷ FOI</t>
        </is>
      </c>
      <c r="B109" s="58">
        <f>B107/B108</f>
        <v/>
      </c>
      <c r="C109" s="6" t="inlineStr">
        <is>
          <t>×</t>
        </is>
      </c>
    </row>
    <row r="110">
      <c r="A110" s="6" t="inlineStr">
        <is>
          <t>Months of production that would match FOI exactly</t>
        </is>
      </c>
      <c r="B110" s="9">
        <f>B108/B105</f>
        <v/>
      </c>
      <c r="C110" s="6" t="inlineStr">
        <is>
          <t>months</t>
        </is>
      </c>
    </row>
    <row r="111">
      <c r="A111" s="6" t="inlineStr">
        <is>
          <t>Implied yield on surveyed bed area</t>
        </is>
      </c>
      <c r="B111" s="67">
        <f>B107/1000/Alaminos_Beds!B5</f>
        <v/>
      </c>
      <c r="C111" s="6" t="inlineStr">
        <is>
          <t>t/ha/yr</t>
        </is>
      </c>
    </row>
    <row r="112">
      <c r="A112" s="6" t="inlineStr">
        <is>
          <t>Primary-based x = primary annual ÷ beds</t>
        </is>
      </c>
      <c r="B112" s="10">
        <f>B107/Alaminos_Beds!B4</f>
        <v/>
      </c>
      <c r="C112" s="6" t="inlineStr">
        <is>
          <t>kg/bed/yr</t>
        </is>
      </c>
    </row>
    <row r="113">
      <c r="A113" s="6" t="inlineStr">
        <is>
          <t>FOI-based x</t>
        </is>
      </c>
      <c r="B113" s="10">
        <f>Alaminos_Beds!B9</f>
        <v/>
      </c>
      <c r="C113" s="6" t="inlineStr">
        <is>
          <t>kg/bed/yr</t>
        </is>
      </c>
    </row>
    <row r="114">
      <c r="A114" s="6" t="inlineStr">
        <is>
          <t>Rejected reading: col. V as monthly × months ÷ FOI</t>
        </is>
      </c>
      <c r="B114" s="56">
        <f>B27*B106/B108</f>
        <v/>
      </c>
      <c r="C114" s="6" t="inlineStr">
        <is>
          <t>×</t>
        </is>
      </c>
    </row>
    <row r="115">
      <c r="A115" s="6" t="inlineStr">
        <is>
          <t>OPAg 2021 Alaminos production</t>
        </is>
      </c>
      <c r="B115" s="15" t="n">
        <v>5208</v>
      </c>
      <c r="C115" s="6" t="inlineStr">
        <is>
          <t>MT</t>
        </is>
      </c>
    </row>
    <row r="116">
      <c r="A116" s="6" t="inlineStr">
        <is>
          <t>Primary annual ÷ OPAg 2021</t>
        </is>
      </c>
      <c r="B116" s="9">
        <f>B107/1000/B115</f>
        <v/>
      </c>
      <c r="C116" s="6" t="inlineStr">
        <is>
          <t>×</t>
        </is>
      </c>
    </row>
    <row r="118">
      <c r="A118" s="2" t="inlineStr">
        <is>
          <t>Result: read as kg per month, the primary column gives 1,099 MT, 2.8% above FOI, 41.8 t/ha and x = 148.35, against 144.36 from FOI. Two independent sources agree. The sheet's column V (U × 30) is 31× FOI and cannot be right. The unit label should be confirmed with the source; FOI matches exactly at 5.84 months.</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I16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24" customWidth="1" min="4" max="4"/>
    <col width="21" customWidth="1" min="5" max="5"/>
    <col width="24" customWidth="1" min="6" max="6"/>
    <col width="29" customWidth="1" min="7" max="7"/>
    <col width="21" customWidth="1" min="8" max="8"/>
    <col width="38" customWidth="1" min="9" max="9"/>
  </cols>
  <sheetData>
    <row r="1" ht="34" customHeight="1">
      <c r="A1" s="68" t="inlineStr">
        <is>
          <t>Municipality</t>
        </is>
      </c>
      <c r="B1" s="68" t="inlineStr">
        <is>
          <t>Year</t>
        </is>
      </c>
      <c r="C1" s="68" t="inlineStr">
        <is>
          <t>Month</t>
        </is>
      </c>
      <c r="D1" s="68" t="inlineStr">
        <is>
          <t>Original estimate (kg)</t>
        </is>
      </c>
      <c r="E1" s="68" t="inlineStr">
        <is>
          <t>IQR multiplier</t>
        </is>
      </c>
      <c r="F1" s="68" t="inlineStr">
        <is>
          <t>Adjusted estimate (kg)</t>
        </is>
      </c>
      <c r="G1" s="68" t="inlineStr">
        <is>
          <t>Annual total preserved (kg)</t>
        </is>
      </c>
      <c r="H1" s="68" t="inlineStr">
        <is>
          <t>Change (%)</t>
        </is>
      </c>
      <c r="I1" s="68" t="inlineStr">
        <is>
          <t>Status</t>
        </is>
      </c>
    </row>
    <row r="2">
      <c r="A2" t="inlineStr">
        <is>
          <t>Alaminos City</t>
        </is>
      </c>
      <c r="B2" t="n">
        <v>2024</v>
      </c>
      <c r="C2" t="inlineStr">
        <is>
          <t>Jan</t>
        </is>
      </c>
      <c r="D2" s="69" t="n">
        <v>42118.4976714834</v>
      </c>
      <c r="E2" s="70" t="n">
        <v>1</v>
      </c>
      <c r="F2" s="69" t="n">
        <v>42118.4976714834</v>
      </c>
      <c r="G2" s="69" t="n">
        <v>446350.0000000006</v>
      </c>
      <c r="H2" s="71" t="n">
        <v>0</v>
      </c>
      <c r="I2" t="inlineStr">
        <is>
          <t>Unchanged reference</t>
        </is>
      </c>
    </row>
    <row r="3">
      <c r="A3" t="inlineStr">
        <is>
          <t>Alaminos City</t>
        </is>
      </c>
      <c r="B3" t="n">
        <v>2024</v>
      </c>
      <c r="C3" t="inlineStr">
        <is>
          <t>Feb</t>
        </is>
      </c>
      <c r="D3" s="69" t="n">
        <v>8036.39951790405</v>
      </c>
      <c r="E3" s="70" t="n">
        <v>1</v>
      </c>
      <c r="F3" s="69" t="n">
        <v>8036.39951790405</v>
      </c>
      <c r="G3" s="69" t="n">
        <v>446350.0000000006</v>
      </c>
      <c r="H3" s="71" t="n">
        <v>0</v>
      </c>
      <c r="I3" t="inlineStr">
        <is>
          <t>Unchanged reference</t>
        </is>
      </c>
    </row>
    <row r="4">
      <c r="A4" t="inlineStr">
        <is>
          <t>Alaminos City</t>
        </is>
      </c>
      <c r="B4" t="n">
        <v>2024</v>
      </c>
      <c r="C4" t="inlineStr">
        <is>
          <t>Mar</t>
        </is>
      </c>
      <c r="D4" s="69" t="n">
        <v>74348.6375438588</v>
      </c>
      <c r="E4" s="70" t="n">
        <v>1</v>
      </c>
      <c r="F4" s="69" t="n">
        <v>74348.6375438588</v>
      </c>
      <c r="G4" s="69" t="n">
        <v>446350.0000000006</v>
      </c>
      <c r="H4" s="71" t="n">
        <v>0</v>
      </c>
      <c r="I4" t="inlineStr">
        <is>
          <t>Unchanged reference</t>
        </is>
      </c>
    </row>
    <row r="5">
      <c r="A5" t="inlineStr">
        <is>
          <t>Alaminos City</t>
        </is>
      </c>
      <c r="B5" t="n">
        <v>2024</v>
      </c>
      <c r="C5" t="inlineStr">
        <is>
          <t>Apr</t>
        </is>
      </c>
      <c r="D5" s="69" t="n">
        <v>109913.818767258</v>
      </c>
      <c r="E5" s="70" t="n">
        <v>1</v>
      </c>
      <c r="F5" s="69" t="n">
        <v>109913.818767258</v>
      </c>
      <c r="G5" s="69" t="n">
        <v>446350.0000000006</v>
      </c>
      <c r="H5" s="71" t="n">
        <v>0</v>
      </c>
      <c r="I5" t="inlineStr">
        <is>
          <t>Unchanged reference</t>
        </is>
      </c>
    </row>
    <row r="6">
      <c r="A6" t="inlineStr">
        <is>
          <t>Alaminos City</t>
        </is>
      </c>
      <c r="B6" t="n">
        <v>2024</v>
      </c>
      <c r="C6" t="inlineStr">
        <is>
          <t>May</t>
        </is>
      </c>
      <c r="D6" s="69" t="n">
        <v>132793.180542214</v>
      </c>
      <c r="E6" s="70" t="n">
        <v>1</v>
      </c>
      <c r="F6" s="69" t="n">
        <v>132793.180542214</v>
      </c>
      <c r="G6" s="69" t="n">
        <v>446350.0000000006</v>
      </c>
      <c r="H6" s="71" t="n">
        <v>0</v>
      </c>
      <c r="I6" t="inlineStr">
        <is>
          <t>Unchanged reference</t>
        </is>
      </c>
    </row>
    <row r="7">
      <c r="A7" t="inlineStr">
        <is>
          <t>Alaminos City</t>
        </is>
      </c>
      <c r="B7" t="n">
        <v>2024</v>
      </c>
      <c r="C7" t="inlineStr">
        <is>
          <t>Jun</t>
        </is>
      </c>
      <c r="D7" s="69" t="n">
        <v>48459.8909508485</v>
      </c>
      <c r="E7" s="70" t="n">
        <v>1</v>
      </c>
      <c r="F7" s="69" t="n">
        <v>48459.8909508485</v>
      </c>
      <c r="G7" s="69" t="n">
        <v>446350.0000000006</v>
      </c>
      <c r="H7" s="71" t="n">
        <v>0</v>
      </c>
      <c r="I7" t="inlineStr">
        <is>
          <t>Unchanged reference</t>
        </is>
      </c>
    </row>
    <row r="8">
      <c r="A8" t="inlineStr">
        <is>
          <t>Alaminos City</t>
        </is>
      </c>
      <c r="B8" t="n">
        <v>2024</v>
      </c>
      <c r="C8" t="inlineStr">
        <is>
          <t>Jul</t>
        </is>
      </c>
      <c r="D8" s="69" t="n">
        <v>5421.2903625827</v>
      </c>
      <c r="E8" s="70" t="n">
        <v>1</v>
      </c>
      <c r="F8" s="69" t="n">
        <v>5421.2903625827</v>
      </c>
      <c r="G8" s="69" t="n">
        <v>446350.0000000006</v>
      </c>
      <c r="H8" s="71" t="n">
        <v>0</v>
      </c>
      <c r="I8" t="inlineStr">
        <is>
          <t>Unchanged reference</t>
        </is>
      </c>
    </row>
    <row r="9">
      <c r="A9" t="inlineStr">
        <is>
          <t>Alaminos City</t>
        </is>
      </c>
      <c r="B9" t="n">
        <v>2024</v>
      </c>
      <c r="C9" t="inlineStr">
        <is>
          <t>Aug</t>
        </is>
      </c>
      <c r="D9" s="69" t="n">
        <v>5487.63482506185</v>
      </c>
      <c r="E9" s="70" t="n">
        <v>1</v>
      </c>
      <c r="F9" s="69" t="n">
        <v>5487.63482506185</v>
      </c>
      <c r="G9" s="69" t="n">
        <v>446350.0000000006</v>
      </c>
      <c r="H9" s="71" t="n">
        <v>0</v>
      </c>
      <c r="I9" t="inlineStr">
        <is>
          <t>Unchanged reference</t>
        </is>
      </c>
    </row>
    <row r="10">
      <c r="A10" t="inlineStr">
        <is>
          <t>Alaminos City</t>
        </is>
      </c>
      <c r="B10" t="n">
        <v>2024</v>
      </c>
      <c r="C10" t="inlineStr">
        <is>
          <t>Sep</t>
        </is>
      </c>
      <c r="D10" s="69" t="n">
        <v>5544.50150718685</v>
      </c>
      <c r="E10" s="70" t="n">
        <v>1</v>
      </c>
      <c r="F10" s="69" t="n">
        <v>5544.50150718685</v>
      </c>
      <c r="G10" s="69" t="n">
        <v>446350.0000000006</v>
      </c>
      <c r="H10" s="71" t="n">
        <v>0</v>
      </c>
      <c r="I10" t="inlineStr">
        <is>
          <t>Unchanged reference</t>
        </is>
      </c>
    </row>
    <row r="11">
      <c r="A11" t="inlineStr">
        <is>
          <t>Alaminos City</t>
        </is>
      </c>
      <c r="B11" t="n">
        <v>2024</v>
      </c>
      <c r="C11" t="inlineStr">
        <is>
          <t>Oct</t>
        </is>
      </c>
      <c r="D11" s="69" t="n">
        <v>4795.75685920777</v>
      </c>
      <c r="E11" s="70" t="n">
        <v>1</v>
      </c>
      <c r="F11" s="69" t="n">
        <v>4795.75685920777</v>
      </c>
      <c r="G11" s="69" t="n">
        <v>446350.0000000006</v>
      </c>
      <c r="H11" s="71" t="n">
        <v>0</v>
      </c>
      <c r="I11" t="inlineStr">
        <is>
          <t>Unchanged reference</t>
        </is>
      </c>
    </row>
    <row r="12">
      <c r="A12" t="inlineStr">
        <is>
          <t>Alaminos City</t>
        </is>
      </c>
      <c r="B12" t="n">
        <v>2024</v>
      </c>
      <c r="C12" t="inlineStr">
        <is>
          <t>Nov</t>
        </is>
      </c>
      <c r="D12" s="69" t="n">
        <v>4748.36795743694</v>
      </c>
      <c r="E12" s="70" t="n">
        <v>1</v>
      </c>
      <c r="F12" s="69" t="n">
        <v>4748.36795743694</v>
      </c>
      <c r="G12" s="69" t="n">
        <v>446350.0000000006</v>
      </c>
      <c r="H12" s="71" t="n">
        <v>0</v>
      </c>
      <c r="I12" t="inlineStr">
        <is>
          <t>Unchanged reference</t>
        </is>
      </c>
    </row>
    <row r="13">
      <c r="A13" t="inlineStr">
        <is>
          <t>Alaminos City</t>
        </is>
      </c>
      <c r="B13" t="n">
        <v>2024</v>
      </c>
      <c r="C13" t="inlineStr">
        <is>
          <t>Dec</t>
        </is>
      </c>
      <c r="D13" s="69" t="n">
        <v>4682.02349495778</v>
      </c>
      <c r="E13" s="70" t="n">
        <v>1</v>
      </c>
      <c r="F13" s="69" t="n">
        <v>4682.02349495778</v>
      </c>
      <c r="G13" s="69" t="n">
        <v>446350.0000000006</v>
      </c>
      <c r="H13" s="71" t="n">
        <v>0</v>
      </c>
      <c r="I13" t="inlineStr">
        <is>
          <t>Unchanged reference</t>
        </is>
      </c>
    </row>
    <row r="14">
      <c r="A14" t="inlineStr">
        <is>
          <t>Alaminos City</t>
        </is>
      </c>
      <c r="B14" t="n">
        <v>2025</v>
      </c>
      <c r="C14" t="inlineStr">
        <is>
          <t>Jan</t>
        </is>
      </c>
      <c r="D14" s="69" t="n">
        <v>2691.36198798409</v>
      </c>
      <c r="E14" s="70" t="n">
        <v>1</v>
      </c>
      <c r="F14" s="69" t="n">
        <v>2691.36198798409</v>
      </c>
      <c r="G14" s="69" t="n">
        <v>1099260</v>
      </c>
      <c r="H14" s="71" t="n">
        <v>0</v>
      </c>
      <c r="I14" t="inlineStr">
        <is>
          <t>Unchanged reference</t>
        </is>
      </c>
    </row>
    <row r="15">
      <c r="A15" t="inlineStr">
        <is>
          <t>Alaminos City</t>
        </is>
      </c>
      <c r="B15" t="n">
        <v>2025</v>
      </c>
      <c r="C15" t="inlineStr">
        <is>
          <t>Feb</t>
        </is>
      </c>
      <c r="D15" s="69" t="n">
        <v>6811.39319908054</v>
      </c>
      <c r="E15" s="70" t="n">
        <v>1</v>
      </c>
      <c r="F15" s="69" t="n">
        <v>6811.39319908054</v>
      </c>
      <c r="G15" s="69" t="n">
        <v>1099260</v>
      </c>
      <c r="H15" s="71" t="n">
        <v>0</v>
      </c>
      <c r="I15" t="inlineStr">
        <is>
          <t>Unchanged reference</t>
        </is>
      </c>
    </row>
    <row r="16">
      <c r="A16" t="inlineStr">
        <is>
          <t>Alaminos City</t>
        </is>
      </c>
      <c r="B16" t="n">
        <v>2025</v>
      </c>
      <c r="C16" t="inlineStr">
        <is>
          <t>Mar</t>
        </is>
      </c>
      <c r="D16" s="69" t="n">
        <v>58778.5784231156</v>
      </c>
      <c r="E16" s="70" t="n">
        <v>1</v>
      </c>
      <c r="F16" s="69" t="n">
        <v>58778.5784231156</v>
      </c>
      <c r="G16" s="69" t="n">
        <v>1099260</v>
      </c>
      <c r="H16" s="71" t="n">
        <v>0</v>
      </c>
      <c r="I16" t="inlineStr">
        <is>
          <t>Unchanged reference</t>
        </is>
      </c>
    </row>
    <row r="17">
      <c r="A17" t="inlineStr">
        <is>
          <t>Alaminos City</t>
        </is>
      </c>
      <c r="B17" t="n">
        <v>2025</v>
      </c>
      <c r="C17" t="inlineStr">
        <is>
          <t>Apr</t>
        </is>
      </c>
      <c r="D17" s="69" t="n">
        <v>410106.450895629</v>
      </c>
      <c r="E17" s="70" t="n">
        <v>1</v>
      </c>
      <c r="F17" s="69" t="n">
        <v>410106.450895629</v>
      </c>
      <c r="G17" s="69" t="n">
        <v>1099260</v>
      </c>
      <c r="H17" s="71" t="n">
        <v>0</v>
      </c>
      <c r="I17" t="inlineStr">
        <is>
          <t>Unchanged reference</t>
        </is>
      </c>
    </row>
    <row r="18">
      <c r="A18" t="inlineStr">
        <is>
          <t>Alaminos City</t>
        </is>
      </c>
      <c r="B18" t="n">
        <v>2025</v>
      </c>
      <c r="C18" t="inlineStr">
        <is>
          <t>May</t>
        </is>
      </c>
      <c r="D18" s="69" t="n">
        <v>312825.171132967</v>
      </c>
      <c r="E18" s="70" t="n">
        <v>1</v>
      </c>
      <c r="F18" s="69" t="n">
        <v>312825.171132967</v>
      </c>
      <c r="G18" s="69" t="n">
        <v>1099260</v>
      </c>
      <c r="H18" s="71" t="n">
        <v>0</v>
      </c>
      <c r="I18" t="inlineStr">
        <is>
          <t>Unchanged reference</t>
        </is>
      </c>
    </row>
    <row r="19">
      <c r="A19" t="inlineStr">
        <is>
          <t>Alaminos City</t>
        </is>
      </c>
      <c r="B19" t="n">
        <v>2025</v>
      </c>
      <c r="C19" t="inlineStr">
        <is>
          <t>Jun</t>
        </is>
      </c>
      <c r="D19" s="69" t="n">
        <v>156255.763027835</v>
      </c>
      <c r="E19" s="70" t="n">
        <v>1</v>
      </c>
      <c r="F19" s="69" t="n">
        <v>156255.763027835</v>
      </c>
      <c r="G19" s="69" t="n">
        <v>1099260</v>
      </c>
      <c r="H19" s="71" t="n">
        <v>0</v>
      </c>
      <c r="I19" t="inlineStr">
        <is>
          <t>Unchanged reference</t>
        </is>
      </c>
    </row>
    <row r="20">
      <c r="A20" t="inlineStr">
        <is>
          <t>Alaminos City</t>
        </is>
      </c>
      <c r="B20" t="n">
        <v>2025</v>
      </c>
      <c r="C20" t="inlineStr">
        <is>
          <t>Jul</t>
        </is>
      </c>
      <c r="D20" s="69" t="n">
        <v>43813.5094921286</v>
      </c>
      <c r="E20" s="70" t="n">
        <v>1</v>
      </c>
      <c r="F20" s="69" t="n">
        <v>43813.5094921286</v>
      </c>
      <c r="G20" s="69" t="n">
        <v>1099260</v>
      </c>
      <c r="H20" s="71" t="n">
        <v>0</v>
      </c>
      <c r="I20" t="inlineStr">
        <is>
          <t>Unchanged reference</t>
        </is>
      </c>
    </row>
    <row r="21">
      <c r="A21" t="inlineStr">
        <is>
          <t>Alaminos City</t>
        </is>
      </c>
      <c r="B21" t="n">
        <v>2025</v>
      </c>
      <c r="C21" t="inlineStr">
        <is>
          <t>Aug</t>
        </is>
      </c>
      <c r="D21" s="69" t="n">
        <v>10331.3219449133</v>
      </c>
      <c r="E21" s="70" t="n">
        <v>1</v>
      </c>
      <c r="F21" s="69" t="n">
        <v>10331.3219449133</v>
      </c>
      <c r="G21" s="69" t="n">
        <v>1099260</v>
      </c>
      <c r="H21" s="71" t="n">
        <v>0</v>
      </c>
      <c r="I21" t="inlineStr">
        <is>
          <t>Unchanged reference</t>
        </is>
      </c>
    </row>
    <row r="22">
      <c r="A22" t="inlineStr">
        <is>
          <t>Alaminos City</t>
        </is>
      </c>
      <c r="B22" t="n">
        <v>2025</v>
      </c>
      <c r="C22" t="inlineStr">
        <is>
          <t>Sep</t>
        </is>
      </c>
      <c r="D22" s="69" t="n">
        <v>18072.2490868092</v>
      </c>
      <c r="E22" s="70" t="n">
        <v>1</v>
      </c>
      <c r="F22" s="69" t="n">
        <v>18072.2490868092</v>
      </c>
      <c r="G22" s="69" t="n">
        <v>1099260</v>
      </c>
      <c r="H22" s="71" t="n">
        <v>0</v>
      </c>
      <c r="I22" t="inlineStr">
        <is>
          <t>Unchanged reference</t>
        </is>
      </c>
    </row>
    <row r="23">
      <c r="A23" t="inlineStr">
        <is>
          <t>Alaminos City</t>
        </is>
      </c>
      <c r="B23" t="n">
        <v>2025</v>
      </c>
      <c r="C23" t="inlineStr">
        <is>
          <t>Oct</t>
        </is>
      </c>
      <c r="D23" s="69" t="n">
        <v>20915.88406059</v>
      </c>
      <c r="E23" s="70" t="n">
        <v>1</v>
      </c>
      <c r="F23" s="69" t="n">
        <v>20915.88406059</v>
      </c>
      <c r="G23" s="69" t="n">
        <v>1099260</v>
      </c>
      <c r="H23" s="71" t="n">
        <v>0</v>
      </c>
      <c r="I23" t="inlineStr">
        <is>
          <t>Unchanged reference</t>
        </is>
      </c>
    </row>
    <row r="24">
      <c r="A24" t="inlineStr">
        <is>
          <t>Alaminos City</t>
        </is>
      </c>
      <c r="B24" t="n">
        <v>2025</v>
      </c>
      <c r="C24" t="inlineStr">
        <is>
          <t>Nov</t>
        </is>
      </c>
      <c r="D24" s="69" t="n">
        <v>25281.81038122</v>
      </c>
      <c r="E24" s="70" t="n">
        <v>1</v>
      </c>
      <c r="F24" s="69" t="n">
        <v>25281.81038122</v>
      </c>
      <c r="G24" s="69" t="n">
        <v>1099260</v>
      </c>
      <c r="H24" s="71" t="n">
        <v>0</v>
      </c>
      <c r="I24" t="inlineStr">
        <is>
          <t>Unchanged reference</t>
        </is>
      </c>
    </row>
    <row r="25">
      <c r="A25" t="inlineStr">
        <is>
          <t>Alaminos City</t>
        </is>
      </c>
      <c r="B25" t="n">
        <v>2025</v>
      </c>
      <c r="C25" t="inlineStr">
        <is>
          <t>Dec</t>
        </is>
      </c>
      <c r="D25" s="69" t="n">
        <v>33376.5063677279</v>
      </c>
      <c r="E25" s="70" t="n">
        <v>1</v>
      </c>
      <c r="F25" s="69" t="n">
        <v>33376.5063677279</v>
      </c>
      <c r="G25" s="69" t="n">
        <v>1099260</v>
      </c>
      <c r="H25" s="71" t="n">
        <v>0</v>
      </c>
      <c r="I25" t="inlineStr">
        <is>
          <t>Unchanged reference</t>
        </is>
      </c>
    </row>
    <row r="26">
      <c r="A26" t="inlineStr">
        <is>
          <t>Anda</t>
        </is>
      </c>
      <c r="B26" t="n">
        <v>2024</v>
      </c>
      <c r="C26" t="inlineStr">
        <is>
          <t>Jan</t>
        </is>
      </c>
      <c r="D26" s="69" t="n">
        <v>10908.2521134166</v>
      </c>
      <c r="E26" s="70" t="n">
        <v>1.244249276130176</v>
      </c>
      <c r="F26" s="69" t="n">
        <v>13572.58479596407</v>
      </c>
      <c r="G26" s="69" t="n">
        <v>115600</v>
      </c>
      <c r="H26" s="71" t="n">
        <v>24.42492761301762</v>
      </c>
      <c r="I26" t="inlineStr">
        <is>
          <t>IQR-adjusted; annual total preserved</t>
        </is>
      </c>
    </row>
    <row r="27">
      <c r="A27" t="inlineStr">
        <is>
          <t>Anda</t>
        </is>
      </c>
      <c r="B27" t="n">
        <v>2024</v>
      </c>
      <c r="C27" t="inlineStr">
        <is>
          <t>Feb</t>
        </is>
      </c>
      <c r="D27" s="69" t="n">
        <v>2081.34375326472</v>
      </c>
      <c r="E27" s="70" t="n">
        <v>0.4161719580579484</v>
      </c>
      <c r="F27" s="69" t="n">
        <v>866.1969051878579</v>
      </c>
      <c r="G27" s="69" t="n">
        <v>115600</v>
      </c>
      <c r="H27" s="71" t="n">
        <v>-58.38280419420516</v>
      </c>
      <c r="I27" t="inlineStr">
        <is>
          <t>IQR-adjusted; annual total preserved</t>
        </is>
      </c>
    </row>
    <row r="28">
      <c r="A28" t="inlineStr">
        <is>
          <t>Anda</t>
        </is>
      </c>
      <c r="B28" t="n">
        <v>2024</v>
      </c>
      <c r="C28" t="inlineStr">
        <is>
          <t>Mar</t>
        </is>
      </c>
      <c r="D28" s="69" t="n">
        <v>19255.5225721297</v>
      </c>
      <c r="E28" s="70" t="n">
        <v>1.640795632733388</v>
      </c>
      <c r="F28" s="69" t="n">
        <v>31594.37734234959</v>
      </c>
      <c r="G28" s="69" t="n">
        <v>115600</v>
      </c>
      <c r="H28" s="71" t="n">
        <v>64.07956327333883</v>
      </c>
      <c r="I28" t="inlineStr">
        <is>
          <t>IQR-adjusted; annual total preserved</t>
        </is>
      </c>
    </row>
    <row r="29">
      <c r="A29" t="inlineStr">
        <is>
          <t>Anda</t>
        </is>
      </c>
      <c r="B29" t="n">
        <v>2024</v>
      </c>
      <c r="C29" t="inlineStr">
        <is>
          <t>Apr</t>
        </is>
      </c>
      <c r="D29" s="69" t="n">
        <v>28466.5339968523</v>
      </c>
      <c r="E29" s="70" t="n">
        <v>0.9687072509873894</v>
      </c>
      <c r="F29" s="69" t="n">
        <v>27575.73789322986</v>
      </c>
      <c r="G29" s="69" t="n">
        <v>115600</v>
      </c>
      <c r="H29" s="71" t="n">
        <v>-3.129274901261059</v>
      </c>
      <c r="I29" t="inlineStr">
        <is>
          <t>IQR-adjusted; annual total preserved</t>
        </is>
      </c>
    </row>
    <row r="30">
      <c r="A30" t="inlineStr">
        <is>
          <t>Anda</t>
        </is>
      </c>
      <c r="B30" t="n">
        <v>2024</v>
      </c>
      <c r="C30" t="inlineStr">
        <is>
          <t>May</t>
        </is>
      </c>
      <c r="D30" s="69" t="n">
        <v>34392.0503431833</v>
      </c>
      <c r="E30" s="70" t="n">
        <v>0.1348894328943646</v>
      </c>
      <c r="F30" s="69" t="n">
        <v>4639.124166866433</v>
      </c>
      <c r="G30" s="69" t="n">
        <v>115600</v>
      </c>
      <c r="H30" s="71" t="n">
        <v>-86.51105671056354</v>
      </c>
      <c r="I30" t="inlineStr">
        <is>
          <t>IQR-adjusted; annual total preserved</t>
        </is>
      </c>
    </row>
    <row r="31">
      <c r="A31" t="inlineStr">
        <is>
          <t>Anda</t>
        </is>
      </c>
      <c r="B31" t="n">
        <v>2024</v>
      </c>
      <c r="C31" t="inlineStr">
        <is>
          <t>Jun</t>
        </is>
      </c>
      <c r="D31" s="69" t="n">
        <v>12550.6069091925</v>
      </c>
      <c r="E31" s="70" t="n">
        <v>2.405292235709328</v>
      </c>
      <c r="F31" s="69" t="n">
        <v>30187.87735212057</v>
      </c>
      <c r="G31" s="69" t="n">
        <v>115600</v>
      </c>
      <c r="H31" s="71" t="n">
        <v>140.5292235709328</v>
      </c>
      <c r="I31" t="inlineStr">
        <is>
          <t>IQR-adjusted; annual total preserved</t>
        </is>
      </c>
    </row>
    <row r="32">
      <c r="A32" t="inlineStr">
        <is>
          <t>Anda</t>
        </is>
      </c>
      <c r="B32" t="n">
        <v>2024</v>
      </c>
      <c r="C32" t="inlineStr">
        <is>
          <t>Jul</t>
        </is>
      </c>
      <c r="D32" s="69" t="n">
        <v>1404.05772580836</v>
      </c>
      <c r="E32" s="70" t="n">
        <v>1.193204553271706</v>
      </c>
      <c r="F32" s="69" t="n">
        <v>1675.328071490852</v>
      </c>
      <c r="G32" s="69" t="n">
        <v>115600</v>
      </c>
      <c r="H32" s="71" t="n">
        <v>19.32045532717064</v>
      </c>
      <c r="I32" t="inlineStr">
        <is>
          <t>IQR-adjusted; annual total preserved</t>
        </is>
      </c>
    </row>
    <row r="33">
      <c r="A33" t="inlineStr">
        <is>
          <t>Anda</t>
        </is>
      </c>
      <c r="B33" t="n">
        <v>2024</v>
      </c>
      <c r="C33" t="inlineStr">
        <is>
          <t>Aug</t>
        </is>
      </c>
      <c r="D33" s="69" t="n">
        <v>1421.24025042489</v>
      </c>
      <c r="E33" s="70" t="n">
        <v>1.294478301678966</v>
      </c>
      <c r="F33" s="69" t="n">
        <v>1839.7646656478</v>
      </c>
      <c r="G33" s="69" t="n">
        <v>115600</v>
      </c>
      <c r="H33" s="71" t="n">
        <v>29.4478301678966</v>
      </c>
      <c r="I33" t="inlineStr">
        <is>
          <t>IQR-adjusted; annual total preserved</t>
        </is>
      </c>
    </row>
    <row r="34">
      <c r="A34" t="inlineStr">
        <is>
          <t>Anda</t>
        </is>
      </c>
      <c r="B34" t="n">
        <v>2024</v>
      </c>
      <c r="C34" t="inlineStr">
        <is>
          <t>Sep</t>
        </is>
      </c>
      <c r="D34" s="69" t="n">
        <v>1435.96812866764</v>
      </c>
      <c r="E34" s="70" t="n">
        <v>0.1507126362176956</v>
      </c>
      <c r="F34" s="69" t="n">
        <v>216.4185421960912</v>
      </c>
      <c r="G34" s="69" t="n">
        <v>115600</v>
      </c>
      <c r="H34" s="71" t="n">
        <v>-84.92873637823044</v>
      </c>
      <c r="I34" t="inlineStr">
        <is>
          <t>IQR-adjusted; annual total preserved</t>
        </is>
      </c>
    </row>
    <row r="35">
      <c r="A35" t="inlineStr">
        <is>
          <t>Anda</t>
        </is>
      </c>
      <c r="B35" t="n">
        <v>2024</v>
      </c>
      <c r="C35" t="inlineStr">
        <is>
          <t>Oct</t>
        </is>
      </c>
      <c r="D35" s="69" t="n">
        <v>1242.05106513816</v>
      </c>
      <c r="E35" s="70" t="n">
        <v>0.4321230471006994</v>
      </c>
      <c r="F35" s="69" t="n">
        <v>536.718890922171</v>
      </c>
      <c r="G35" s="69" t="n">
        <v>115600</v>
      </c>
      <c r="H35" s="71" t="n">
        <v>-56.78769528993006</v>
      </c>
      <c r="I35" t="inlineStr">
        <is>
          <t>IQR-adjusted; annual total preserved</t>
        </is>
      </c>
    </row>
    <row r="36">
      <c r="A36" t="inlineStr">
        <is>
          <t>Anda</t>
        </is>
      </c>
      <c r="B36" t="n">
        <v>2024</v>
      </c>
      <c r="C36" t="inlineStr">
        <is>
          <t>Nov</t>
        </is>
      </c>
      <c r="D36" s="69" t="n">
        <v>1229.77783326921</v>
      </c>
      <c r="E36" s="70" t="n">
        <v>0.3331457722096695</v>
      </c>
      <c r="F36" s="69" t="n">
        <v>409.6952859108052</v>
      </c>
      <c r="G36" s="69" t="n">
        <v>115600</v>
      </c>
      <c r="H36" s="71" t="n">
        <v>-66.68542277903305</v>
      </c>
      <c r="I36" t="inlineStr">
        <is>
          <t>IQR-adjusted; annual total preserved</t>
        </is>
      </c>
    </row>
    <row r="37">
      <c r="A37" t="inlineStr">
        <is>
          <t>Anda</t>
        </is>
      </c>
      <c r="B37" t="n">
        <v>2024</v>
      </c>
      <c r="C37" t="inlineStr">
        <is>
          <t>Dec</t>
        </is>
      </c>
      <c r="D37" s="69" t="n">
        <v>1212.59530865267</v>
      </c>
      <c r="E37" s="70" t="n">
        <v>2.050293342200363</v>
      </c>
      <c r="F37" s="69" t="n">
        <v>2486.176088113963</v>
      </c>
      <c r="G37" s="69" t="n">
        <v>115600</v>
      </c>
      <c r="H37" s="71" t="n">
        <v>105.0293342200363</v>
      </c>
      <c r="I37" t="inlineStr">
        <is>
          <t>IQR-adjusted; annual total preserved</t>
        </is>
      </c>
    </row>
    <row r="38">
      <c r="A38" t="inlineStr">
        <is>
          <t>Anda</t>
        </is>
      </c>
      <c r="B38" t="n">
        <v>2025</v>
      </c>
      <c r="C38" t="inlineStr">
        <is>
          <t>Jan</t>
        </is>
      </c>
      <c r="D38" s="69" t="n">
        <v>3261.70518837606</v>
      </c>
      <c r="E38" s="70" t="n">
        <v>1.614705102638057</v>
      </c>
      <c r="F38" s="69" t="n">
        <v>5266.692010971849</v>
      </c>
      <c r="G38" s="69" t="n">
        <v>1332211</v>
      </c>
      <c r="H38" s="71" t="n">
        <v>61.47051026380568</v>
      </c>
      <c r="I38" t="inlineStr">
        <is>
          <t>IQR-adjusted; annual total preserved</t>
        </is>
      </c>
    </row>
    <row r="39">
      <c r="A39" t="inlineStr">
        <is>
          <t>Anda</t>
        </is>
      </c>
      <c r="B39" t="n">
        <v>2025</v>
      </c>
      <c r="C39" t="inlineStr">
        <is>
          <t>Feb</t>
        </is>
      </c>
      <c r="D39" s="69" t="n">
        <v>8254.837750068489</v>
      </c>
      <c r="E39" s="70" t="n">
        <v>2.897560245071902</v>
      </c>
      <c r="F39" s="69" t="n">
        <v>23918.88969411724</v>
      </c>
      <c r="G39" s="69" t="n">
        <v>1332211</v>
      </c>
      <c r="H39" s="71" t="n">
        <v>189.7560245071902</v>
      </c>
      <c r="I39" t="inlineStr">
        <is>
          <t>IQR-adjusted; annual total preserved</t>
        </is>
      </c>
    </row>
    <row r="40">
      <c r="A40" t="inlineStr">
        <is>
          <t>Anda</t>
        </is>
      </c>
      <c r="B40" t="n">
        <v>2025</v>
      </c>
      <c r="C40" t="inlineStr">
        <is>
          <t>Mar</t>
        </is>
      </c>
      <c r="D40" s="69" t="n">
        <v>71234.7112963605</v>
      </c>
      <c r="E40" s="70" t="n">
        <v>0.8386060095006542</v>
      </c>
      <c r="F40" s="69" t="n">
        <v>59737.85697817206</v>
      </c>
      <c r="G40" s="69" t="n">
        <v>1332211</v>
      </c>
      <c r="H40" s="71" t="n">
        <v>-16.13939904993458</v>
      </c>
      <c r="I40" t="inlineStr">
        <is>
          <t>IQR-adjusted; annual total preserved</t>
        </is>
      </c>
    </row>
    <row r="41">
      <c r="A41" t="inlineStr">
        <is>
          <t>Anda</t>
        </is>
      </c>
      <c r="B41" t="n">
        <v>2025</v>
      </c>
      <c r="C41" t="inlineStr">
        <is>
          <t>Apr</t>
        </is>
      </c>
      <c r="D41" s="69" t="n">
        <v>497014.65081429</v>
      </c>
      <c r="E41" s="70" t="n">
        <v>0.4137157886327201</v>
      </c>
      <c r="F41" s="69" t="n">
        <v>205622.80822365</v>
      </c>
      <c r="G41" s="69" t="n">
        <v>1332211</v>
      </c>
      <c r="H41" s="71" t="n">
        <v>-58.62842113672799</v>
      </c>
      <c r="I41" t="inlineStr">
        <is>
          <t>IQR-adjusted; annual total preserved</t>
        </is>
      </c>
    </row>
    <row r="42">
      <c r="A42" t="inlineStr">
        <is>
          <t>Anda</t>
        </is>
      </c>
      <c r="B42" t="n">
        <v>2025</v>
      </c>
      <c r="C42" t="inlineStr">
        <is>
          <t>May</t>
        </is>
      </c>
      <c r="D42" s="69" t="n">
        <v>379117.892091244</v>
      </c>
      <c r="E42" s="70" t="n">
        <v>1.206040629009801</v>
      </c>
      <c r="F42" s="69" t="n">
        <v>457231.5810465938</v>
      </c>
      <c r="G42" s="69" t="n">
        <v>1332211</v>
      </c>
      <c r="H42" s="71" t="n">
        <v>20.60406290098011</v>
      </c>
      <c r="I42" t="inlineStr">
        <is>
          <t>IQR-adjusted; annual total preserved</t>
        </is>
      </c>
    </row>
    <row r="43">
      <c r="A43" t="inlineStr">
        <is>
          <t>Anda</t>
        </is>
      </c>
      <c r="B43" t="n">
        <v>2025</v>
      </c>
      <c r="C43" t="inlineStr">
        <is>
          <t>Jun</t>
        </is>
      </c>
      <c r="D43" s="69" t="n">
        <v>189368.890270796</v>
      </c>
      <c r="E43" s="70" t="n">
        <v>0.2425097850684132</v>
      </c>
      <c r="F43" s="69" t="n">
        <v>45923.80887821467</v>
      </c>
      <c r="G43" s="69" t="n">
        <v>1332211</v>
      </c>
      <c r="H43" s="71" t="n">
        <v>-75.74902149315868</v>
      </c>
      <c r="I43" t="inlineStr">
        <is>
          <t>IQR-adjusted; annual total preserved</t>
        </is>
      </c>
    </row>
    <row r="44">
      <c r="A44" t="inlineStr">
        <is>
          <t>Anda</t>
        </is>
      </c>
      <c r="B44" t="n">
        <v>2025</v>
      </c>
      <c r="C44" t="inlineStr">
        <is>
          <t>Jul</t>
        </is>
      </c>
      <c r="D44" s="69" t="n">
        <v>53098.3018521715</v>
      </c>
      <c r="E44" s="70" t="n">
        <v>2.944046705743081</v>
      </c>
      <c r="F44" s="69" t="n">
        <v>156323.8806484372</v>
      </c>
      <c r="G44" s="69" t="n">
        <v>1332211</v>
      </c>
      <c r="H44" s="71" t="n">
        <v>194.4046705743081</v>
      </c>
      <c r="I44" t="inlineStr">
        <is>
          <t>IQR-adjusted; annual total preserved</t>
        </is>
      </c>
    </row>
    <row r="45">
      <c r="A45" t="inlineStr">
        <is>
          <t>Anda</t>
        </is>
      </c>
      <c r="B45" t="n">
        <v>2025</v>
      </c>
      <c r="C45" t="inlineStr">
        <is>
          <t>Aug</t>
        </is>
      </c>
      <c r="D45" s="69" t="n">
        <v>12520.6964135462</v>
      </c>
      <c r="E45" s="70" t="n">
        <v>1.551581485252202</v>
      </c>
      <c r="F45" s="69" t="n">
        <v>19426.88073772193</v>
      </c>
      <c r="G45" s="69" t="n">
        <v>1332211</v>
      </c>
      <c r="H45" s="71" t="n">
        <v>55.15814852522016</v>
      </c>
      <c r="I45" t="inlineStr">
        <is>
          <t>IQR-adjusted; annual total preserved</t>
        </is>
      </c>
    </row>
    <row r="46">
      <c r="A46" t="inlineStr">
        <is>
          <t>Anda</t>
        </is>
      </c>
      <c r="B46" t="n">
        <v>2025</v>
      </c>
      <c r="C46" t="inlineStr">
        <is>
          <t>Sep</t>
        </is>
      </c>
      <c r="D46" s="69" t="n">
        <v>21902.0514056612</v>
      </c>
      <c r="E46" s="70" t="n">
        <v>2.34546778078492</v>
      </c>
      <c r="F46" s="69" t="n">
        <v>51370.5559050734</v>
      </c>
      <c r="G46" s="69" t="n">
        <v>1332211</v>
      </c>
      <c r="H46" s="71" t="n">
        <v>134.546778078492</v>
      </c>
      <c r="I46" t="inlineStr">
        <is>
          <t>IQR-adjusted; annual total preserved</t>
        </is>
      </c>
    </row>
    <row r="47">
      <c r="A47" t="inlineStr">
        <is>
          <t>Anda</t>
        </is>
      </c>
      <c r="B47" t="n">
        <v>2025</v>
      </c>
      <c r="C47" t="inlineStr">
        <is>
          <t>Oct</t>
        </is>
      </c>
      <c r="D47" s="69" t="n">
        <v>25348.298692068</v>
      </c>
      <c r="E47" s="70" t="n">
        <v>0.627167104248496</v>
      </c>
      <c r="F47" s="69" t="n">
        <v>15897.61908833023</v>
      </c>
      <c r="G47" s="69" t="n">
        <v>1332211</v>
      </c>
      <c r="H47" s="71" t="n">
        <v>-37.28328957515041</v>
      </c>
      <c r="I47" t="inlineStr">
        <is>
          <t>IQR-adjusted; annual total preserved</t>
        </is>
      </c>
    </row>
    <row r="48">
      <c r="A48" t="inlineStr">
        <is>
          <t>Anda</t>
        </is>
      </c>
      <c r="B48" t="n">
        <v>2025</v>
      </c>
      <c r="C48" t="inlineStr">
        <is>
          <t>Nov</t>
        </is>
      </c>
      <c r="D48" s="69" t="n">
        <v>30639.4355200548</v>
      </c>
      <c r="E48" s="70" t="n">
        <v>4.69920770747639</v>
      </c>
      <c r="F48" s="69" t="n">
        <v>143981.0715485674</v>
      </c>
      <c r="G48" s="69" t="n">
        <v>1332211</v>
      </c>
      <c r="H48" s="71" t="n">
        <v>369.920770747639</v>
      </c>
      <c r="I48" t="inlineStr">
        <is>
          <t>IQR-adjusted; annual total preserved</t>
        </is>
      </c>
    </row>
    <row r="49">
      <c r="A49" t="inlineStr">
        <is>
          <t>Anda</t>
        </is>
      </c>
      <c r="B49" t="n">
        <v>2025</v>
      </c>
      <c r="C49" t="inlineStr">
        <is>
          <t>Dec</t>
        </is>
      </c>
      <c r="D49" s="69" t="n">
        <v>40449.5287053628</v>
      </c>
      <c r="E49" s="70" t="n">
        <v>3.646750900724169</v>
      </c>
      <c r="F49" s="69" t="n">
        <v>147509.3552401499</v>
      </c>
      <c r="G49" s="69" t="n">
        <v>1332211</v>
      </c>
      <c r="H49" s="71" t="n">
        <v>264.6750900724169</v>
      </c>
      <c r="I49" t="inlineStr">
        <is>
          <t>IQR-adjusted; annual total preserved</t>
        </is>
      </c>
    </row>
    <row r="50">
      <c r="A50" t="inlineStr">
        <is>
          <t>Bani</t>
        </is>
      </c>
      <c r="B50" t="n">
        <v>2024</v>
      </c>
      <c r="C50" t="inlineStr">
        <is>
          <t>Jan</t>
        </is>
      </c>
      <c r="D50" s="69" t="n">
        <v>61278.71040184</v>
      </c>
      <c r="E50" s="70" t="n">
        <v>2.92009253039165</v>
      </c>
      <c r="F50" s="69" t="n">
        <v>178939.5045164461</v>
      </c>
      <c r="G50" s="69" t="n">
        <v>649399.9999999998</v>
      </c>
      <c r="H50" s="71" t="n">
        <v>192.009253039165</v>
      </c>
      <c r="I50" t="inlineStr">
        <is>
          <t>IQR-adjusted; annual total preserved</t>
        </is>
      </c>
    </row>
    <row r="51">
      <c r="A51" t="inlineStr">
        <is>
          <t>Bani</t>
        </is>
      </c>
      <c r="B51" t="n">
        <v>2024</v>
      </c>
      <c r="C51" t="inlineStr">
        <is>
          <t>Feb</t>
        </is>
      </c>
      <c r="D51" s="69" t="n">
        <v>11692.2546139283</v>
      </c>
      <c r="E51" s="70" t="n">
        <v>0.4332962856842595</v>
      </c>
      <c r="F51" s="69" t="n">
        <v>5066.210495489779</v>
      </c>
      <c r="G51" s="69" t="n">
        <v>649399.9999999998</v>
      </c>
      <c r="H51" s="71" t="n">
        <v>-56.67037143157405</v>
      </c>
      <c r="I51" t="inlineStr">
        <is>
          <t>IQR-adjusted; annual total preserved</t>
        </is>
      </c>
    </row>
    <row r="52">
      <c r="A52" t="inlineStr">
        <is>
          <t>Bani</t>
        </is>
      </c>
      <c r="B52" t="n">
        <v>2024</v>
      </c>
      <c r="C52" t="inlineStr">
        <is>
          <t>Mar</t>
        </is>
      </c>
      <c r="D52" s="69" t="n">
        <v>108170.729743434</v>
      </c>
      <c r="E52" s="70" t="n">
        <v>1.054385007538482</v>
      </c>
      <c r="F52" s="69" t="n">
        <v>114053.5956959738</v>
      </c>
      <c r="G52" s="69" t="n">
        <v>649399.9999999998</v>
      </c>
      <c r="H52" s="71" t="n">
        <v>5.438500753848241</v>
      </c>
      <c r="I52" t="inlineStr">
        <is>
          <t>IQR-adjusted; annual total preserved</t>
        </is>
      </c>
    </row>
    <row r="53">
      <c r="A53" t="inlineStr">
        <is>
          <t>Bani</t>
        </is>
      </c>
      <c r="B53" t="n">
        <v>2024</v>
      </c>
      <c r="C53" t="inlineStr">
        <is>
          <t>Apr</t>
        </is>
      </c>
      <c r="D53" s="69" t="n">
        <v>159914.940982317</v>
      </c>
      <c r="E53" s="70" t="n">
        <v>0.2646539646718344</v>
      </c>
      <c r="F53" s="69" t="n">
        <v>42322.1231412326</v>
      </c>
      <c r="G53" s="69" t="n">
        <v>649399.9999999998</v>
      </c>
      <c r="H53" s="71" t="n">
        <v>-73.53460353281656</v>
      </c>
      <c r="I53" t="inlineStr">
        <is>
          <t>IQR-adjusted; annual total preserved</t>
        </is>
      </c>
    </row>
    <row r="54">
      <c r="A54" t="inlineStr">
        <is>
          <t>Bani</t>
        </is>
      </c>
      <c r="B54" t="n">
        <v>2024</v>
      </c>
      <c r="C54" t="inlineStr">
        <is>
          <t>May</t>
        </is>
      </c>
      <c r="D54" s="69" t="n">
        <v>193202.400457295</v>
      </c>
      <c r="E54" s="70" t="n">
        <v>0.3797608822714595</v>
      </c>
      <c r="F54" s="69" t="n">
        <v>73370.71405462619</v>
      </c>
      <c r="G54" s="69" t="n">
        <v>649399.9999999998</v>
      </c>
      <c r="H54" s="71" t="n">
        <v>-62.02391177285405</v>
      </c>
      <c r="I54" t="inlineStr">
        <is>
          <t>IQR-adjusted; annual total preserved</t>
        </is>
      </c>
    </row>
    <row r="55">
      <c r="A55" t="inlineStr">
        <is>
          <t>Bani</t>
        </is>
      </c>
      <c r="B55" t="n">
        <v>2024</v>
      </c>
      <c r="C55" t="inlineStr">
        <is>
          <t>Jun</t>
        </is>
      </c>
      <c r="D55" s="69" t="n">
        <v>70504.8799898756</v>
      </c>
      <c r="E55" s="70" t="n">
        <v>2.138314239676488</v>
      </c>
      <c r="F55" s="69" t="n">
        <v>150761.5888490329</v>
      </c>
      <c r="G55" s="69" t="n">
        <v>649399.9999999998</v>
      </c>
      <c r="H55" s="71" t="n">
        <v>113.8314239676488</v>
      </c>
      <c r="I55" t="inlineStr">
        <is>
          <t>IQR-adjusted; annual total preserved</t>
        </is>
      </c>
    </row>
    <row r="56">
      <c r="A56" t="inlineStr">
        <is>
          <t>Bani</t>
        </is>
      </c>
      <c r="B56" t="n">
        <v>2024</v>
      </c>
      <c r="C56" t="inlineStr">
        <is>
          <t>Jul</t>
        </is>
      </c>
      <c r="D56" s="69" t="n">
        <v>7887.50075380576</v>
      </c>
      <c r="E56" s="70" t="n">
        <v>2.616205959402933</v>
      </c>
      <c r="F56" s="69" t="n">
        <v>20635.32647690176</v>
      </c>
      <c r="G56" s="69" t="n">
        <v>649399.9999999998</v>
      </c>
      <c r="H56" s="71" t="n">
        <v>161.6205959402934</v>
      </c>
      <c r="I56" t="inlineStr">
        <is>
          <t>IQR-adjusted; annual total preserved</t>
        </is>
      </c>
    </row>
    <row r="57">
      <c r="A57" t="inlineStr">
        <is>
          <t>Bani</t>
        </is>
      </c>
      <c r="B57" t="n">
        <v>2024</v>
      </c>
      <c r="C57" t="inlineStr">
        <is>
          <t>Aug</t>
        </is>
      </c>
      <c r="D57" s="69" t="n">
        <v>7984.02611268101</v>
      </c>
      <c r="E57" s="70" t="n">
        <v>5.418221338864378</v>
      </c>
      <c r="F57" s="69" t="n">
        <v>43259.22065377866</v>
      </c>
      <c r="G57" s="69" t="n">
        <v>649399.9999999998</v>
      </c>
      <c r="H57" s="71" t="n">
        <v>441.8221338864378</v>
      </c>
      <c r="I57" t="inlineStr">
        <is>
          <t>IQR-adjusted; annual total preserved</t>
        </is>
      </c>
    </row>
    <row r="58">
      <c r="A58" t="inlineStr">
        <is>
          <t>Bani</t>
        </is>
      </c>
      <c r="B58" t="n">
        <v>2024</v>
      </c>
      <c r="C58" t="inlineStr">
        <is>
          <t>Sep</t>
        </is>
      </c>
      <c r="D58" s="69" t="n">
        <v>8066.76213457408</v>
      </c>
      <c r="E58" s="70" t="n">
        <v>0.6652750737263989</v>
      </c>
      <c r="F58" s="69" t="n">
        <v>5366.615773812095</v>
      </c>
      <c r="G58" s="69" t="n">
        <v>649399.9999999998</v>
      </c>
      <c r="H58" s="71" t="n">
        <v>-33.4724926273601</v>
      </c>
      <c r="I58" t="inlineStr">
        <is>
          <t>IQR-adjusted; annual total preserved</t>
        </is>
      </c>
    </row>
    <row r="59">
      <c r="A59" t="inlineStr">
        <is>
          <t>Bani</t>
        </is>
      </c>
      <c r="B59" t="n">
        <v>2024</v>
      </c>
      <c r="C59" t="inlineStr">
        <is>
          <t>Oct</t>
        </is>
      </c>
      <c r="D59" s="69" t="n">
        <v>6977.40451298202</v>
      </c>
      <c r="E59" s="70" t="n">
        <v>0.7697658355611601</v>
      </c>
      <c r="F59" s="69" t="n">
        <v>5370.967614983813</v>
      </c>
      <c r="G59" s="69" t="n">
        <v>649399.9999999998</v>
      </c>
      <c r="H59" s="71" t="n">
        <v>-23.02341644388399</v>
      </c>
      <c r="I59" t="inlineStr">
        <is>
          <t>IQR-adjusted; annual total preserved</t>
        </is>
      </c>
    </row>
    <row r="60">
      <c r="A60" t="inlineStr">
        <is>
          <t>Bani</t>
        </is>
      </c>
      <c r="B60" t="n">
        <v>2024</v>
      </c>
      <c r="C60" t="inlineStr">
        <is>
          <t>Nov</t>
        </is>
      </c>
      <c r="D60" s="69" t="n">
        <v>6908.45782807113</v>
      </c>
      <c r="E60" s="70" t="n">
        <v>1.064199775394621</v>
      </c>
      <c r="F60" s="69" t="n">
        <v>7351.979268956507</v>
      </c>
      <c r="G60" s="69" t="n">
        <v>649399.9999999998</v>
      </c>
      <c r="H60" s="71" t="n">
        <v>6.419977539462085</v>
      </c>
      <c r="I60" t="inlineStr">
        <is>
          <t>IQR-adjusted; annual total preserved</t>
        </is>
      </c>
    </row>
    <row r="61">
      <c r="A61" t="inlineStr">
        <is>
          <t>Bani</t>
        </is>
      </c>
      <c r="B61" t="n">
        <v>2024</v>
      </c>
      <c r="C61" t="inlineStr">
        <is>
          <t>Dec</t>
        </is>
      </c>
      <c r="D61" s="69" t="n">
        <v>6811.93246919589</v>
      </c>
      <c r="E61" s="70" t="n">
        <v>0.4260396696369908</v>
      </c>
      <c r="F61" s="69" t="n">
        <v>2902.153458765708</v>
      </c>
      <c r="G61" s="69" t="n">
        <v>649399.9999999998</v>
      </c>
      <c r="H61" s="71" t="n">
        <v>-57.39603303630092</v>
      </c>
      <c r="I61" t="inlineStr">
        <is>
          <t>IQR-adjusted; annual total preserved</t>
        </is>
      </c>
    </row>
    <row r="62">
      <c r="A62" t="inlineStr">
        <is>
          <t>Bani</t>
        </is>
      </c>
      <c r="B62" t="n">
        <v>2025</v>
      </c>
      <c r="C62" t="inlineStr">
        <is>
          <t>Jan</t>
        </is>
      </c>
      <c r="D62" s="69" t="n">
        <v>1488.10091906985</v>
      </c>
      <c r="E62" s="70" t="n">
        <v>0.1931151409864631</v>
      </c>
      <c r="F62" s="69" t="n">
        <v>287.3748187882593</v>
      </c>
      <c r="G62" s="69" t="n">
        <v>607800.0000000005</v>
      </c>
      <c r="H62" s="71" t="n">
        <v>-80.68848590135369</v>
      </c>
      <c r="I62" t="inlineStr">
        <is>
          <t>IQR-adjusted; annual total preserved</t>
        </is>
      </c>
    </row>
    <row r="63">
      <c r="A63" t="inlineStr">
        <is>
          <t>Bani</t>
        </is>
      </c>
      <c r="B63" t="n">
        <v>2025</v>
      </c>
      <c r="C63" t="inlineStr">
        <is>
          <t>Feb</t>
        </is>
      </c>
      <c r="D63" s="69" t="n">
        <v>3766.13793497549</v>
      </c>
      <c r="E63" s="70" t="n">
        <v>0.5979261540995559</v>
      </c>
      <c r="F63" s="69" t="n">
        <v>2251.872371268338</v>
      </c>
      <c r="G63" s="69" t="n">
        <v>607800.0000000005</v>
      </c>
      <c r="H63" s="71" t="n">
        <v>-40.20738459004441</v>
      </c>
      <c r="I63" t="inlineStr">
        <is>
          <t>IQR-adjusted; annual total preserved</t>
        </is>
      </c>
    </row>
    <row r="64">
      <c r="A64" t="inlineStr">
        <is>
          <t>Bani</t>
        </is>
      </c>
      <c r="B64" t="n">
        <v>2025</v>
      </c>
      <c r="C64" t="inlineStr">
        <is>
          <t>Mar</t>
        </is>
      </c>
      <c r="D64" s="69" t="n">
        <v>32499.6997667246</v>
      </c>
      <c r="E64" s="70" t="n">
        <v>0.2651479233895593</v>
      </c>
      <c r="F64" s="69" t="n">
        <v>8617.227903931172</v>
      </c>
      <c r="G64" s="69" t="n">
        <v>607800.0000000005</v>
      </c>
      <c r="H64" s="71" t="n">
        <v>-73.48520766104407</v>
      </c>
      <c r="I64" t="inlineStr">
        <is>
          <t>IQR-adjusted; annual total preserved</t>
        </is>
      </c>
    </row>
    <row r="65">
      <c r="A65" t="inlineStr">
        <is>
          <t>Bani</t>
        </is>
      </c>
      <c r="B65" t="n">
        <v>2025</v>
      </c>
      <c r="C65" t="inlineStr">
        <is>
          <t>Apr</t>
        </is>
      </c>
      <c r="D65" s="69" t="n">
        <v>226754.999594603</v>
      </c>
      <c r="E65" s="70" t="n">
        <v>1.127666531035054</v>
      </c>
      <c r="F65" s="69" t="n">
        <v>255704.023787701</v>
      </c>
      <c r="G65" s="69" t="n">
        <v>607800.0000000005</v>
      </c>
      <c r="H65" s="71" t="n">
        <v>12.76665310350538</v>
      </c>
      <c r="I65" t="inlineStr">
        <is>
          <t>IQR-adjusted; annual total preserved</t>
        </is>
      </c>
    </row>
    <row r="66">
      <c r="A66" t="inlineStr">
        <is>
          <t>Bani</t>
        </is>
      </c>
      <c r="B66" t="n">
        <v>2025</v>
      </c>
      <c r="C66" t="inlineStr">
        <is>
          <t>May</t>
        </is>
      </c>
      <c r="D66" s="69" t="n">
        <v>172966.485649089</v>
      </c>
      <c r="E66" s="70" t="n">
        <v>0.5271357690839229</v>
      </c>
      <c r="F66" s="69" t="n">
        <v>91176.82143837585</v>
      </c>
      <c r="G66" s="69" t="n">
        <v>607800.0000000005</v>
      </c>
      <c r="H66" s="71" t="n">
        <v>-47.28642309160771</v>
      </c>
      <c r="I66" t="inlineStr">
        <is>
          <t>IQR-adjusted; annual total preserved</t>
        </is>
      </c>
    </row>
    <row r="67">
      <c r="A67" t="inlineStr">
        <is>
          <t>Bani</t>
        </is>
      </c>
      <c r="B67" t="n">
        <v>2025</v>
      </c>
      <c r="C67" t="inlineStr">
        <is>
          <t>Jun</t>
        </is>
      </c>
      <c r="D67" s="69" t="n">
        <v>86396.5329115208</v>
      </c>
      <c r="E67" s="70" t="n">
        <v>1.920270879887835</v>
      </c>
      <c r="F67" s="69" t="n">
        <v>165904.7462732643</v>
      </c>
      <c r="G67" s="69" t="n">
        <v>607800.0000000005</v>
      </c>
      <c r="H67" s="71" t="n">
        <v>92.02708798878348</v>
      </c>
      <c r="I67" t="inlineStr">
        <is>
          <t>IQR-adjusted; annual total preserved</t>
        </is>
      </c>
    </row>
    <row r="68">
      <c r="A68" t="inlineStr">
        <is>
          <t>Bani</t>
        </is>
      </c>
      <c r="B68" t="n">
        <v>2025</v>
      </c>
      <c r="C68" t="inlineStr">
        <is>
          <t>Jul</t>
        </is>
      </c>
      <c r="D68" s="69" t="n">
        <v>24225.252505609</v>
      </c>
      <c r="E68" s="70" t="n">
        <v>1.245676590865401</v>
      </c>
      <c r="F68" s="69" t="n">
        <v>30176.82995404054</v>
      </c>
      <c r="G68" s="69" t="n">
        <v>607800.0000000005</v>
      </c>
      <c r="H68" s="71" t="n">
        <v>24.5676590865401</v>
      </c>
      <c r="I68" t="inlineStr">
        <is>
          <t>IQR-adjusted; annual total preserved</t>
        </is>
      </c>
    </row>
    <row r="69">
      <c r="A69" t="inlineStr">
        <is>
          <t>Bani</t>
        </is>
      </c>
      <c r="B69" t="n">
        <v>2025</v>
      </c>
      <c r="C69" t="inlineStr">
        <is>
          <t>Aug</t>
        </is>
      </c>
      <c r="D69" s="69" t="n">
        <v>5712.36784574921</v>
      </c>
      <c r="E69" s="70" t="n">
        <v>0.3505845677876243</v>
      </c>
      <c r="F69" s="69" t="n">
        <v>2002.668012245909</v>
      </c>
      <c r="G69" s="69" t="n">
        <v>607800.0000000005</v>
      </c>
      <c r="H69" s="71" t="n">
        <v>-64.94154322123758</v>
      </c>
      <c r="I69" t="inlineStr">
        <is>
          <t>IQR-adjusted; annual total preserved</t>
        </is>
      </c>
    </row>
    <row r="70">
      <c r="A70" t="inlineStr">
        <is>
          <t>Bani</t>
        </is>
      </c>
      <c r="B70" t="n">
        <v>2025</v>
      </c>
      <c r="C70" t="inlineStr">
        <is>
          <t>Sep</t>
        </is>
      </c>
      <c r="D70" s="69" t="n">
        <v>9992.46128755945</v>
      </c>
      <c r="E70" s="70" t="n">
        <v>1.917646689016273</v>
      </c>
      <c r="F70" s="69" t="n">
        <v>19162.01030321166</v>
      </c>
      <c r="G70" s="69" t="n">
        <v>607800.0000000005</v>
      </c>
      <c r="H70" s="71" t="n">
        <v>91.76466890162729</v>
      </c>
      <c r="I70" t="inlineStr">
        <is>
          <t>IQR-adjusted; annual total preserved</t>
        </is>
      </c>
    </row>
    <row r="71">
      <c r="A71" t="inlineStr">
        <is>
          <t>Bani</t>
        </is>
      </c>
      <c r="B71" t="n">
        <v>2025</v>
      </c>
      <c r="C71" t="inlineStr">
        <is>
          <t>Oct</t>
        </is>
      </c>
      <c r="D71" s="69" t="n">
        <v>11564.756592641</v>
      </c>
      <c r="E71" s="70" t="n">
        <v>1.752828700098638</v>
      </c>
      <c r="F71" s="69" t="n">
        <v>20271.03726523607</v>
      </c>
      <c r="G71" s="69" t="n">
        <v>607800.0000000005</v>
      </c>
      <c r="H71" s="71" t="n">
        <v>75.28287000986376</v>
      </c>
      <c r="I71" t="inlineStr">
        <is>
          <t>IQR-adjusted; annual total preserved</t>
        </is>
      </c>
    </row>
    <row r="72">
      <c r="A72" t="inlineStr">
        <is>
          <t>Bani</t>
        </is>
      </c>
      <c r="B72" t="n">
        <v>2025</v>
      </c>
      <c r="C72" t="inlineStr">
        <is>
          <t>Nov</t>
        </is>
      </c>
      <c r="D72" s="69" t="n">
        <v>13978.7532974051</v>
      </c>
      <c r="E72" s="70" t="n">
        <v>0.4481383336206073</v>
      </c>
      <c r="F72" s="69" t="n">
        <v>6264.41520879269</v>
      </c>
      <c r="G72" s="69" t="n">
        <v>607800.0000000005</v>
      </c>
      <c r="H72" s="71" t="n">
        <v>-55.18616663793927</v>
      </c>
      <c r="I72" t="inlineStr">
        <is>
          <t>IQR-adjusted; annual total preserved</t>
        </is>
      </c>
    </row>
    <row r="73">
      <c r="A73" t="inlineStr">
        <is>
          <t>Bani</t>
        </is>
      </c>
      <c r="B73" t="n">
        <v>2025</v>
      </c>
      <c r="C73" t="inlineStr">
        <is>
          <t>Dec</t>
        </is>
      </c>
      <c r="D73" s="69" t="n">
        <v>18454.4516950539</v>
      </c>
      <c r="E73" s="70" t="n">
        <v>0.3240937613306503</v>
      </c>
      <c r="F73" s="69" t="n">
        <v>5980.972663144814</v>
      </c>
      <c r="G73" s="69" t="n">
        <v>607800.0000000005</v>
      </c>
      <c r="H73" s="71" t="n">
        <v>-67.59062386693498</v>
      </c>
      <c r="I73" t="inlineStr">
        <is>
          <t>IQR-adjusted; annual total preserved</t>
        </is>
      </c>
    </row>
    <row r="74">
      <c r="A74" t="inlineStr">
        <is>
          <t>Bolinao</t>
        </is>
      </c>
      <c r="B74" t="n">
        <v>2024</v>
      </c>
      <c r="C74" t="inlineStr">
        <is>
          <t>Jan</t>
        </is>
      </c>
      <c r="D74" s="69" t="n">
        <v>2059.45157764114</v>
      </c>
      <c r="E74" s="70" t="n">
        <v>1.375878269181685</v>
      </c>
      <c r="F74" s="69" t="n">
        <v>2833.554672108382</v>
      </c>
      <c r="G74" s="69" t="n">
        <v>21825</v>
      </c>
      <c r="H74" s="71" t="n">
        <v>37.58782691816849</v>
      </c>
      <c r="I74" t="inlineStr">
        <is>
          <t>IQR-adjusted; annual total preserved</t>
        </is>
      </c>
    </row>
    <row r="75">
      <c r="A75" t="inlineStr">
        <is>
          <t>Bolinao</t>
        </is>
      </c>
      <c r="B75" t="n">
        <v>2024</v>
      </c>
      <c r="C75" t="inlineStr">
        <is>
          <t>Feb</t>
        </is>
      </c>
      <c r="D75" s="69" t="n">
        <v>392.95265929933</v>
      </c>
      <c r="E75" s="70" t="n">
        <v>0.2334368348645385</v>
      </c>
      <c r="F75" s="69" t="n">
        <v>91.72962503843897</v>
      </c>
      <c r="G75" s="69" t="n">
        <v>21825</v>
      </c>
      <c r="H75" s="71" t="n">
        <v>-76.65631651354614</v>
      </c>
      <c r="I75" t="inlineStr">
        <is>
          <t>IQR-adjusted; annual total preserved</t>
        </is>
      </c>
    </row>
    <row r="76">
      <c r="A76" t="inlineStr">
        <is>
          <t>Bolinao</t>
        </is>
      </c>
      <c r="B76" t="n">
        <v>2024</v>
      </c>
      <c r="C76" t="inlineStr">
        <is>
          <t>Mar</t>
        </is>
      </c>
      <c r="D76" s="69" t="n">
        <v>3635.39602194403</v>
      </c>
      <c r="E76" s="70" t="n">
        <v>0.2841574049221838</v>
      </c>
      <c r="F76" s="69" t="n">
        <v>1033.024699460046</v>
      </c>
      <c r="G76" s="69" t="n">
        <v>21825</v>
      </c>
      <c r="H76" s="71" t="n">
        <v>-71.58425950778162</v>
      </c>
      <c r="I76" t="inlineStr">
        <is>
          <t>IQR-adjusted; annual total preserved</t>
        </is>
      </c>
    </row>
    <row r="77">
      <c r="A77" t="inlineStr">
        <is>
          <t>Bolinao</t>
        </is>
      </c>
      <c r="B77" t="n">
        <v>2024</v>
      </c>
      <c r="C77" t="inlineStr">
        <is>
          <t>Apr</t>
        </is>
      </c>
      <c r="D77" s="69" t="n">
        <v>5374.41266852337</v>
      </c>
      <c r="E77" s="70" t="n">
        <v>0.151441419246688</v>
      </c>
      <c r="F77" s="69" t="n">
        <v>813.9086821385587</v>
      </c>
      <c r="G77" s="69" t="n">
        <v>21825</v>
      </c>
      <c r="H77" s="71" t="n">
        <v>-84.8558580753312</v>
      </c>
      <c r="I77" t="inlineStr">
        <is>
          <t>IQR-adjusted; annual total preserved</t>
        </is>
      </c>
    </row>
    <row r="78">
      <c r="A78" t="inlineStr">
        <is>
          <t>Bolinao</t>
        </is>
      </c>
      <c r="B78" t="n">
        <v>2024</v>
      </c>
      <c r="C78" t="inlineStr">
        <is>
          <t>May</t>
        </is>
      </c>
      <c r="D78" s="69" t="n">
        <v>6493.13580224893</v>
      </c>
      <c r="E78" s="70" t="n">
        <v>1.935594049610279</v>
      </c>
      <c r="F78" s="69" t="n">
        <v>12568.0750221445</v>
      </c>
      <c r="G78" s="69" t="n">
        <v>21825</v>
      </c>
      <c r="H78" s="71" t="n">
        <v>93.55940496102792</v>
      </c>
      <c r="I78" t="inlineStr">
        <is>
          <t>IQR-adjusted; annual total preserved</t>
        </is>
      </c>
    </row>
    <row r="79">
      <c r="A79" t="inlineStr">
        <is>
          <t>Bolinao</t>
        </is>
      </c>
      <c r="B79" t="n">
        <v>2024</v>
      </c>
      <c r="C79" t="inlineStr">
        <is>
          <t>Jun</t>
        </is>
      </c>
      <c r="D79" s="69" t="n">
        <v>2369.52418506165</v>
      </c>
      <c r="E79" s="70" t="n">
        <v>1.298774819739749</v>
      </c>
      <c r="F79" s="69" t="n">
        <v>3077.478346322419</v>
      </c>
      <c r="G79" s="69" t="n">
        <v>21825</v>
      </c>
      <c r="H79" s="71" t="n">
        <v>29.87748197397488</v>
      </c>
      <c r="I79" t="inlineStr">
        <is>
          <t>IQR-adjusted; annual total preserved</t>
        </is>
      </c>
    </row>
    <row r="80">
      <c r="A80" t="inlineStr">
        <is>
          <t>Bolinao</t>
        </is>
      </c>
      <c r="B80" t="n">
        <v>2024</v>
      </c>
      <c r="C80" t="inlineStr">
        <is>
          <t>Jul</t>
        </is>
      </c>
      <c r="D80" s="69" t="n">
        <v>265.082697800756</v>
      </c>
      <c r="E80" s="70" t="n">
        <v>1.481696829614561</v>
      </c>
      <c r="F80" s="69" t="n">
        <v>392.7721929170549</v>
      </c>
      <c r="G80" s="69" t="n">
        <v>21825</v>
      </c>
      <c r="H80" s="71" t="n">
        <v>48.16968296145608</v>
      </c>
      <c r="I80" t="inlineStr">
        <is>
          <t>IQR-adjusted; annual total preserved</t>
        </is>
      </c>
    </row>
    <row r="81">
      <c r="A81" t="inlineStr">
        <is>
          <t>Bolinao</t>
        </is>
      </c>
      <c r="B81" t="n">
        <v>2024</v>
      </c>
      <c r="C81" t="inlineStr">
        <is>
          <t>Aug</t>
        </is>
      </c>
      <c r="D81" s="69" t="n">
        <v>268.326716829786</v>
      </c>
      <c r="E81" s="70" t="n">
        <v>1.896793852601748</v>
      </c>
      <c r="F81" s="69" t="n">
        <v>508.9604669715482</v>
      </c>
      <c r="G81" s="69" t="n">
        <v>21825</v>
      </c>
      <c r="H81" s="71" t="n">
        <v>89.67938526017485</v>
      </c>
      <c r="I81" t="inlineStr">
        <is>
          <t>IQR-adjusted; annual total preserved</t>
        </is>
      </c>
    </row>
    <row r="82">
      <c r="A82" t="inlineStr">
        <is>
          <t>Bolinao</t>
        </is>
      </c>
      <c r="B82" t="n">
        <v>2024</v>
      </c>
      <c r="C82" t="inlineStr">
        <is>
          <t>Sep</t>
        </is>
      </c>
      <c r="D82" s="69" t="n">
        <v>271.107304568955</v>
      </c>
      <c r="E82" s="70" t="n">
        <v>0.6625428630292539</v>
      </c>
      <c r="F82" s="69" t="n">
        <v>179.6202097572594</v>
      </c>
      <c r="G82" s="69" t="n">
        <v>21825</v>
      </c>
      <c r="H82" s="71" t="n">
        <v>-33.74571369707461</v>
      </c>
      <c r="I82" t="inlineStr">
        <is>
          <t>IQR-adjusted; annual total preserved</t>
        </is>
      </c>
    </row>
    <row r="83">
      <c r="A83" t="inlineStr">
        <is>
          <t>Bolinao</t>
        </is>
      </c>
      <c r="B83" t="n">
        <v>2024</v>
      </c>
      <c r="C83" t="inlineStr">
        <is>
          <t>Oct</t>
        </is>
      </c>
      <c r="D83" s="69" t="n">
        <v>234.496232669899</v>
      </c>
      <c r="E83" s="70" t="n">
        <v>0.9486554698288689</v>
      </c>
      <c r="F83" s="69" t="n">
        <v>222.4561337765628</v>
      </c>
      <c r="G83" s="69" t="n">
        <v>21825</v>
      </c>
      <c r="H83" s="71" t="n">
        <v>-5.134453017113105</v>
      </c>
      <c r="I83" t="inlineStr">
        <is>
          <t>IQR-adjusted; annual total preserved</t>
        </is>
      </c>
    </row>
    <row r="84">
      <c r="A84" t="inlineStr">
        <is>
          <t>Bolinao</t>
        </is>
      </c>
      <c r="B84" t="n">
        <v>2024</v>
      </c>
      <c r="C84" t="inlineStr">
        <is>
          <t>Nov</t>
        </is>
      </c>
      <c r="D84" s="69" t="n">
        <v>232.179076220592</v>
      </c>
      <c r="E84" s="70" t="n">
        <v>0.2334708010177376</v>
      </c>
      <c r="F84" s="69" t="n">
        <v>54.20703490477997</v>
      </c>
      <c r="G84" s="69" t="n">
        <v>21825</v>
      </c>
      <c r="H84" s="71" t="n">
        <v>-76.65291989822624</v>
      </c>
      <c r="I84" t="inlineStr">
        <is>
          <t>IQR-adjusted; annual total preserved</t>
        </is>
      </c>
    </row>
    <row r="85">
      <c r="A85" t="inlineStr">
        <is>
          <t>Bolinao</t>
        </is>
      </c>
      <c r="B85" t="n">
        <v>2024</v>
      </c>
      <c r="C85" t="inlineStr">
        <is>
          <t>Dec</t>
        </is>
      </c>
      <c r="D85" s="69" t="n">
        <v>228.935057191562</v>
      </c>
      <c r="E85" s="70" t="n">
        <v>0.2149645190394427</v>
      </c>
      <c r="F85" s="69" t="n">
        <v>49.21291446045143</v>
      </c>
      <c r="G85" s="69" t="n">
        <v>21825</v>
      </c>
      <c r="H85" s="71" t="n">
        <v>-78.50354809605574</v>
      </c>
      <c r="I85" t="inlineStr">
        <is>
          <t>IQR-adjusted; annual total preserved</t>
        </is>
      </c>
    </row>
    <row r="86">
      <c r="A86" t="inlineStr">
        <is>
          <t>Bolinao</t>
        </is>
      </c>
      <c r="B86" t="n">
        <v>2025</v>
      </c>
      <c r="C86" t="inlineStr">
        <is>
          <t>Jan</t>
        </is>
      </c>
      <c r="D86" s="69" t="n">
        <v>10924.2888919273</v>
      </c>
      <c r="E86" s="70" t="n">
        <v>1.033119884822573</v>
      </c>
      <c r="F86" s="69" t="n">
        <v>11286.10008179644</v>
      </c>
      <c r="G86" s="69" t="n">
        <v>4461916.999999998</v>
      </c>
      <c r="H86" s="71" t="n">
        <v>3.311988482257266</v>
      </c>
      <c r="I86" t="inlineStr">
        <is>
          <t>IQR-adjusted; annual total preserved</t>
        </is>
      </c>
    </row>
    <row r="87">
      <c r="A87" t="inlineStr">
        <is>
          <t>Bolinao</t>
        </is>
      </c>
      <c r="B87" t="n">
        <v>2025</v>
      </c>
      <c r="C87" t="inlineStr">
        <is>
          <t>Feb</t>
        </is>
      </c>
      <c r="D87" s="69" t="n">
        <v>27647.5730115367</v>
      </c>
      <c r="E87" s="70" t="n">
        <v>0.5420989179874172</v>
      </c>
      <c r="F87" s="69" t="n">
        <v>14987.71941453216</v>
      </c>
      <c r="G87" s="69" t="n">
        <v>4461916.999999998</v>
      </c>
      <c r="H87" s="71" t="n">
        <v>-45.79010820125828</v>
      </c>
      <c r="I87" t="inlineStr">
        <is>
          <t>IQR-adjusted; annual total preserved</t>
        </is>
      </c>
    </row>
    <row r="88">
      <c r="A88" t="inlineStr">
        <is>
          <t>Bolinao</t>
        </is>
      </c>
      <c r="B88" t="n">
        <v>2025</v>
      </c>
      <c r="C88" t="inlineStr">
        <is>
          <t>Mar</t>
        </is>
      </c>
      <c r="D88" s="69" t="n">
        <v>238583.354531169</v>
      </c>
      <c r="E88" s="70" t="n">
        <v>0.7374080225025764</v>
      </c>
      <c r="F88" s="69" t="n">
        <v>175933.2796668604</v>
      </c>
      <c r="G88" s="69" t="n">
        <v>4461916.999999998</v>
      </c>
      <c r="H88" s="71" t="n">
        <v>-26.25919774974236</v>
      </c>
      <c r="I88" t="inlineStr">
        <is>
          <t>IQR-adjusted; annual total preserved</t>
        </is>
      </c>
    </row>
    <row r="89">
      <c r="A89" t="inlineStr">
        <is>
          <t>Bolinao</t>
        </is>
      </c>
      <c r="B89" t="n">
        <v>2025</v>
      </c>
      <c r="C89" t="inlineStr">
        <is>
          <t>Apr</t>
        </is>
      </c>
      <c r="D89" s="69" t="n">
        <v>1664629.79191535</v>
      </c>
      <c r="E89" s="70" t="n">
        <v>1.416662064209882</v>
      </c>
      <c r="F89" s="69" t="n">
        <v>2358217.877160066</v>
      </c>
      <c r="G89" s="69" t="n">
        <v>4461916.999999998</v>
      </c>
      <c r="H89" s="71" t="n">
        <v>41.66620642098822</v>
      </c>
      <c r="I89" t="inlineStr">
        <is>
          <t>IQR-adjusted; annual total preserved</t>
        </is>
      </c>
    </row>
    <row r="90">
      <c r="A90" t="inlineStr">
        <is>
          <t>Bolinao</t>
        </is>
      </c>
      <c r="B90" t="n">
        <v>2025</v>
      </c>
      <c r="C90" t="inlineStr">
        <is>
          <t>May</t>
        </is>
      </c>
      <c r="D90" s="69" t="n">
        <v>1269763.24900942</v>
      </c>
      <c r="E90" s="70" t="n">
        <v>0.925414253116841</v>
      </c>
      <c r="F90" s="69" t="n">
        <v>1175057.008717266</v>
      </c>
      <c r="G90" s="69" t="n">
        <v>4461916.999999998</v>
      </c>
      <c r="H90" s="71" t="n">
        <v>-7.4585746883159</v>
      </c>
      <c r="I90" t="inlineStr">
        <is>
          <t>IQR-adjusted; annual total preserved</t>
        </is>
      </c>
    </row>
    <row r="91">
      <c r="A91" t="inlineStr">
        <is>
          <t>Bolinao</t>
        </is>
      </c>
      <c r="B91" t="n">
        <v>2025</v>
      </c>
      <c r="C91" t="inlineStr">
        <is>
          <t>Jun</t>
        </is>
      </c>
      <c r="D91" s="69" t="n">
        <v>634245.078872942</v>
      </c>
      <c r="E91" s="70" t="n">
        <v>0.709841596686079</v>
      </c>
      <c r="F91" s="69" t="n">
        <v>450213.5394774573</v>
      </c>
      <c r="G91" s="69" t="n">
        <v>4461916.999999998</v>
      </c>
      <c r="H91" s="71" t="n">
        <v>-29.01584033139209</v>
      </c>
      <c r="I91" t="inlineStr">
        <is>
          <t>IQR-adjusted; annual total preserved</t>
        </is>
      </c>
    </row>
    <row r="92">
      <c r="A92" t="inlineStr">
        <is>
          <t>Bolinao</t>
        </is>
      </c>
      <c r="B92" t="n">
        <v>2025</v>
      </c>
      <c r="C92" t="inlineStr">
        <is>
          <t>Jul</t>
        </is>
      </c>
      <c r="D92" s="69" t="n">
        <v>177839.858479877</v>
      </c>
      <c r="E92" s="70" t="n">
        <v>0.7230193411975833</v>
      </c>
      <c r="F92" s="69" t="n">
        <v>128581.6573167921</v>
      </c>
      <c r="G92" s="69" t="n">
        <v>4461916.999999998</v>
      </c>
      <c r="H92" s="71" t="n">
        <v>-27.69806588024167</v>
      </c>
      <c r="I92" t="inlineStr">
        <is>
          <t>IQR-adjusted; annual total preserved</t>
        </is>
      </c>
    </row>
    <row r="93">
      <c r="A93" t="inlineStr">
        <is>
          <t>Bolinao</t>
        </is>
      </c>
      <c r="B93" t="n">
        <v>2025</v>
      </c>
      <c r="C93" t="inlineStr">
        <is>
          <t>Aug</t>
        </is>
      </c>
      <c r="D93" s="69" t="n">
        <v>41935.0299460378</v>
      </c>
      <c r="E93" s="70" t="n">
        <v>0.3139197731963471</v>
      </c>
      <c r="F93" s="69" t="n">
        <v>13164.23508964221</v>
      </c>
      <c r="G93" s="69" t="n">
        <v>4461916.999999998</v>
      </c>
      <c r="H93" s="71" t="n">
        <v>-68.60802268036529</v>
      </c>
      <c r="I93" t="inlineStr">
        <is>
          <t>IQR-adjusted; annual total preserved</t>
        </is>
      </c>
    </row>
    <row r="94">
      <c r="A94" t="inlineStr">
        <is>
          <t>Bolinao</t>
        </is>
      </c>
      <c r="B94" t="n">
        <v>2025</v>
      </c>
      <c r="C94" t="inlineStr">
        <is>
          <t>Sep</t>
        </is>
      </c>
      <c r="D94" s="69" t="n">
        <v>73355.5987015522</v>
      </c>
      <c r="E94" s="70" t="n">
        <v>0.1285624121877328</v>
      </c>
      <c r="F94" s="69" t="n">
        <v>9430.772716546868</v>
      </c>
      <c r="G94" s="69" t="n">
        <v>4461916.999999998</v>
      </c>
      <c r="H94" s="71" t="n">
        <v>-87.14375878122672</v>
      </c>
      <c r="I94" t="inlineStr">
        <is>
          <t>IQR-adjusted; annual total preserved</t>
        </is>
      </c>
    </row>
    <row r="95">
      <c r="A95" t="inlineStr">
        <is>
          <t>Bolinao</t>
        </is>
      </c>
      <c r="B95" t="n">
        <v>2025</v>
      </c>
      <c r="C95" t="inlineStr">
        <is>
          <t>Oct</t>
        </is>
      </c>
      <c r="D95" s="69" t="n">
        <v>84897.9665047172</v>
      </c>
      <c r="E95" s="70" t="n">
        <v>0.4844831075500751</v>
      </c>
      <c r="F95" s="69" t="n">
        <v>41131.63063688758</v>
      </c>
      <c r="G95" s="69" t="n">
        <v>4461916.999999998</v>
      </c>
      <c r="H95" s="71" t="n">
        <v>-51.5516892449925</v>
      </c>
      <c r="I95" t="inlineStr">
        <is>
          <t>IQR-adjusted; annual total preserved</t>
        </is>
      </c>
    </row>
    <row r="96">
      <c r="A96" t="inlineStr">
        <is>
          <t>Bolinao</t>
        </is>
      </c>
      <c r="B96" t="n">
        <v>2025</v>
      </c>
      <c r="C96" t="inlineStr">
        <is>
          <t>Nov</t>
        </is>
      </c>
      <c r="D96" s="69" t="n">
        <v>102619.34349539</v>
      </c>
      <c r="E96" s="70" t="n">
        <v>0.2344048571110617</v>
      </c>
      <c r="F96" s="69" t="n">
        <v>24054.47254886786</v>
      </c>
      <c r="G96" s="69" t="n">
        <v>4461916.999999998</v>
      </c>
      <c r="H96" s="71" t="n">
        <v>-76.55951428889382</v>
      </c>
      <c r="I96" t="inlineStr">
        <is>
          <t>IQR-adjusted; annual total preserved</t>
        </is>
      </c>
    </row>
    <row r="97">
      <c r="A97" t="inlineStr">
        <is>
          <t>Bolinao</t>
        </is>
      </c>
      <c r="B97" t="n">
        <v>2025</v>
      </c>
      <c r="C97" t="inlineStr">
        <is>
          <t>Dec</t>
        </is>
      </c>
      <c r="D97" s="69" t="n">
        <v>135475.866640079</v>
      </c>
      <c r="E97" s="70" t="n">
        <v>0.4418403709666738</v>
      </c>
      <c r="F97" s="69" t="n">
        <v>59858.70717328414</v>
      </c>
      <c r="G97" s="69" t="n">
        <v>4461916.999999998</v>
      </c>
      <c r="H97" s="71" t="n">
        <v>-55.81596290333262</v>
      </c>
      <c r="I97" t="inlineStr">
        <is>
          <t>IQR-adjusted; annual total preserved</t>
        </is>
      </c>
    </row>
    <row r="98">
      <c r="A98" t="inlineStr">
        <is>
          <t>Dasol</t>
        </is>
      </c>
      <c r="B98" t="n">
        <v>2024</v>
      </c>
      <c r="C98" t="inlineStr">
        <is>
          <t>Jan</t>
        </is>
      </c>
      <c r="D98" s="69" t="n">
        <v>54660.8172749348</v>
      </c>
      <c r="E98" s="70" t="n">
        <v>3.484869709767072</v>
      </c>
      <c r="F98" s="69" t="n">
        <v>190485.826432533</v>
      </c>
      <c r="G98" s="69" t="n">
        <v>579267</v>
      </c>
      <c r="H98" s="71" t="n">
        <v>248.4869709767073</v>
      </c>
      <c r="I98" t="inlineStr">
        <is>
          <t>IQR-adjusted; annual total preserved</t>
        </is>
      </c>
    </row>
    <row r="99">
      <c r="A99" t="inlineStr">
        <is>
          <t>Dasol</t>
        </is>
      </c>
      <c r="B99" t="n">
        <v>2024</v>
      </c>
      <c r="C99" t="inlineStr">
        <is>
          <t>Feb</t>
        </is>
      </c>
      <c r="D99" s="69" t="n">
        <v>10429.5307259723</v>
      </c>
      <c r="E99" s="70" t="n">
        <v>0.4601219228044461</v>
      </c>
      <c r="F99" s="69" t="n">
        <v>4798.855731582426</v>
      </c>
      <c r="G99" s="69" t="n">
        <v>579267</v>
      </c>
      <c r="H99" s="71" t="n">
        <v>-53.98780771955538</v>
      </c>
      <c r="I99" t="inlineStr">
        <is>
          <t>IQR-adjusted; annual total preserved</t>
        </is>
      </c>
    </row>
    <row r="100">
      <c r="A100" t="inlineStr">
        <is>
          <t>Dasol</t>
        </is>
      </c>
      <c r="B100" t="n">
        <v>2024</v>
      </c>
      <c r="C100" t="inlineStr">
        <is>
          <t>Mar</t>
        </is>
      </c>
      <c r="D100" s="69" t="n">
        <v>96488.65738572519</v>
      </c>
      <c r="E100" s="70" t="n">
        <v>0.2591557232627782</v>
      </c>
      <c r="F100" s="69" t="n">
        <v>25005.58779145202</v>
      </c>
      <c r="G100" s="69" t="n">
        <v>579267</v>
      </c>
      <c r="H100" s="71" t="n">
        <v>-74.08442767372217</v>
      </c>
      <c r="I100" t="inlineStr">
        <is>
          <t>IQR-adjusted; annual total preserved</t>
        </is>
      </c>
    </row>
    <row r="101">
      <c r="A101" t="inlineStr">
        <is>
          <t>Dasol</t>
        </is>
      </c>
      <c r="B101" t="n">
        <v>2024</v>
      </c>
      <c r="C101" t="inlineStr">
        <is>
          <t>Apr</t>
        </is>
      </c>
      <c r="D101" s="69" t="n">
        <v>142644.669106874</v>
      </c>
      <c r="E101" s="70" t="n">
        <v>0.5373028152233753</v>
      </c>
      <c r="F101" s="69" t="n">
        <v>76643.38228773023</v>
      </c>
      <c r="G101" s="69" t="n">
        <v>579267</v>
      </c>
      <c r="H101" s="71" t="n">
        <v>-46.26971847766247</v>
      </c>
      <c r="I101" t="inlineStr">
        <is>
          <t>IQR-adjusted; annual total preserved</t>
        </is>
      </c>
    </row>
    <row r="102">
      <c r="A102" t="inlineStr">
        <is>
          <t>Dasol</t>
        </is>
      </c>
      <c r="B102" t="n">
        <v>2024</v>
      </c>
      <c r="C102" t="inlineStr">
        <is>
          <t>May</t>
        </is>
      </c>
      <c r="D102" s="69" t="n">
        <v>172337.195727896</v>
      </c>
      <c r="E102" s="70" t="n">
        <v>0.5591788363380684</v>
      </c>
      <c r="F102" s="69" t="n">
        <v>96367.31256489082</v>
      </c>
      <c r="G102" s="69" t="n">
        <v>579267</v>
      </c>
      <c r="H102" s="71" t="n">
        <v>-44.08211636619315</v>
      </c>
      <c r="I102" t="inlineStr">
        <is>
          <t>IQR-adjusted; annual total preserved</t>
        </is>
      </c>
    </row>
    <row r="103">
      <c r="A103" t="inlineStr">
        <is>
          <t>Dasol</t>
        </is>
      </c>
      <c r="B103" t="n">
        <v>2024</v>
      </c>
      <c r="C103" t="inlineStr">
        <is>
          <t>Jun</t>
        </is>
      </c>
      <c r="D103" s="69" t="n">
        <v>62890.5918033497</v>
      </c>
      <c r="E103" s="70" t="n">
        <v>1.863699955275617</v>
      </c>
      <c r="F103" s="69" t="n">
        <v>117209.1931311599</v>
      </c>
      <c r="G103" s="69" t="n">
        <v>579267</v>
      </c>
      <c r="H103" s="71" t="n">
        <v>86.3699955275617</v>
      </c>
      <c r="I103" t="inlineStr">
        <is>
          <t>IQR-adjusted; annual total preserved</t>
        </is>
      </c>
    </row>
    <row r="104">
      <c r="A104" t="inlineStr">
        <is>
          <t>Dasol</t>
        </is>
      </c>
      <c r="B104" t="n">
        <v>2024</v>
      </c>
      <c r="C104" t="inlineStr">
        <is>
          <t>Jul</t>
        </is>
      </c>
      <c r="D104" s="69" t="n">
        <v>7035.67739321651</v>
      </c>
      <c r="E104" s="70" t="n">
        <v>1.322803003726643</v>
      </c>
      <c r="F104" s="69" t="n">
        <v>9306.815188998435</v>
      </c>
      <c r="G104" s="69" t="n">
        <v>579267</v>
      </c>
      <c r="H104" s="71" t="n">
        <v>32.28030037266427</v>
      </c>
      <c r="I104" t="inlineStr">
        <is>
          <t>IQR-adjusted; annual total preserved</t>
        </is>
      </c>
    </row>
    <row r="105">
      <c r="A105" t="inlineStr">
        <is>
          <t>Dasol</t>
        </is>
      </c>
      <c r="B105" t="n">
        <v>2024</v>
      </c>
      <c r="C105" t="inlineStr">
        <is>
          <t>Aug</t>
        </is>
      </c>
      <c r="D105" s="69" t="n">
        <v>7121.77834033629</v>
      </c>
      <c r="E105" s="70" t="n">
        <v>2.776681504946789</v>
      </c>
      <c r="F105" s="69" t="n">
        <v>19774.91019994241</v>
      </c>
      <c r="G105" s="69" t="n">
        <v>579267</v>
      </c>
      <c r="H105" s="71" t="n">
        <v>177.6681504946789</v>
      </c>
      <c r="I105" t="inlineStr">
        <is>
          <t>IQR-adjusted; annual total preserved</t>
        </is>
      </c>
    </row>
    <row r="106">
      <c r="A106" t="inlineStr">
        <is>
          <t>Dasol</t>
        </is>
      </c>
      <c r="B106" t="n">
        <v>2024</v>
      </c>
      <c r="C106" t="inlineStr">
        <is>
          <t>Sep</t>
        </is>
      </c>
      <c r="D106" s="69" t="n">
        <v>7195.57915215325</v>
      </c>
      <c r="E106" s="70" t="n">
        <v>1.878358631192018</v>
      </c>
      <c r="F106" s="69" t="n">
        <v>13515.8782068724</v>
      </c>
      <c r="G106" s="69" t="n">
        <v>579267</v>
      </c>
      <c r="H106" s="71" t="n">
        <v>87.83586311920178</v>
      </c>
      <c r="I106" t="inlineStr">
        <is>
          <t>IQR-adjusted; annual total preserved</t>
        </is>
      </c>
    </row>
    <row r="107">
      <c r="A107" t="inlineStr">
        <is>
          <t>Dasol</t>
        </is>
      </c>
      <c r="B107" t="n">
        <v>2024</v>
      </c>
      <c r="C107" t="inlineStr">
        <is>
          <t>Oct</t>
        </is>
      </c>
      <c r="D107" s="69" t="n">
        <v>6223.86846322999</v>
      </c>
      <c r="E107" s="70" t="n">
        <v>0.8084586570135095</v>
      </c>
      <c r="F107" s="69" t="n">
        <v>5031.740339211653</v>
      </c>
      <c r="G107" s="69" t="n">
        <v>579267</v>
      </c>
      <c r="H107" s="71" t="n">
        <v>-19.15413429864905</v>
      </c>
      <c r="I107" t="inlineStr">
        <is>
          <t>IQR-adjusted; annual total preserved</t>
        </is>
      </c>
    </row>
    <row r="108">
      <c r="A108" t="inlineStr">
        <is>
          <t>Dasol</t>
        </is>
      </c>
      <c r="B108" t="n">
        <v>2024</v>
      </c>
      <c r="C108" t="inlineStr">
        <is>
          <t>Nov</t>
        </is>
      </c>
      <c r="D108" s="69" t="n">
        <v>6162.36778671586</v>
      </c>
      <c r="E108" s="70" t="n">
        <v>3.063964782121941</v>
      </c>
      <c r="F108" s="69" t="n">
        <v>18881.27787298013</v>
      </c>
      <c r="G108" s="69" t="n">
        <v>579267</v>
      </c>
      <c r="H108" s="71" t="n">
        <v>206.3964782121941</v>
      </c>
      <c r="I108" t="inlineStr">
        <is>
          <t>IQR-adjusted; annual total preserved</t>
        </is>
      </c>
    </row>
    <row r="109">
      <c r="A109" t="inlineStr">
        <is>
          <t>Dasol</t>
        </is>
      </c>
      <c r="B109" t="n">
        <v>2024</v>
      </c>
      <c r="C109" t="inlineStr">
        <is>
          <t>Dec</t>
        </is>
      </c>
      <c r="D109" s="69" t="n">
        <v>6076.26683959608</v>
      </c>
      <c r="E109" s="70" t="n">
        <v>0.3696711010137133</v>
      </c>
      <c r="F109" s="69" t="n">
        <v>2246.220252646599</v>
      </c>
      <c r="G109" s="69" t="n">
        <v>579267</v>
      </c>
      <c r="H109" s="71" t="n">
        <v>-63.03288989862867</v>
      </c>
      <c r="I109" t="inlineStr">
        <is>
          <t>IQR-adjusted; annual total preserved</t>
        </is>
      </c>
    </row>
    <row r="110">
      <c r="A110" t="inlineStr">
        <is>
          <t>Dasol</t>
        </is>
      </c>
      <c r="B110" t="n">
        <v>2025</v>
      </c>
      <c r="C110" t="inlineStr">
        <is>
          <t>Jan</t>
        </is>
      </c>
      <c r="D110" s="69" t="n">
        <v>1900.92528295278</v>
      </c>
      <c r="E110" s="70" t="n">
        <v>0.264446845810746</v>
      </c>
      <c r="F110" s="69" t="n">
        <v>502.6936951987625</v>
      </c>
      <c r="G110" s="69" t="n">
        <v>776413.9999999995</v>
      </c>
      <c r="H110" s="71" t="n">
        <v>-73.55531541892539</v>
      </c>
      <c r="I110" t="inlineStr">
        <is>
          <t>IQR-adjusted; annual total preserved</t>
        </is>
      </c>
    </row>
    <row r="111">
      <c r="A111" t="inlineStr">
        <is>
          <t>Dasol</t>
        </is>
      </c>
      <c r="B111" t="n">
        <v>2025</v>
      </c>
      <c r="C111" t="inlineStr">
        <is>
          <t>Feb</t>
        </is>
      </c>
      <c r="D111" s="69" t="n">
        <v>4810.92829655488</v>
      </c>
      <c r="E111" s="70" t="n">
        <v>0.3295489389058832</v>
      </c>
      <c r="F111" s="69" t="n">
        <v>1585.436315281949</v>
      </c>
      <c r="G111" s="69" t="n">
        <v>776413.9999999995</v>
      </c>
      <c r="H111" s="71" t="n">
        <v>-67.04510610941168</v>
      </c>
      <c r="I111" t="inlineStr">
        <is>
          <t>IQR-adjusted; annual total preserved</t>
        </is>
      </c>
    </row>
    <row r="112">
      <c r="A112" t="inlineStr">
        <is>
          <t>Dasol</t>
        </is>
      </c>
      <c r="B112" t="n">
        <v>2025</v>
      </c>
      <c r="C112" t="inlineStr">
        <is>
          <t>Mar</t>
        </is>
      </c>
      <c r="D112" s="69" t="n">
        <v>41515.6661643332</v>
      </c>
      <c r="E112" s="70" t="n">
        <v>2.602979961416582</v>
      </c>
      <c r="F112" s="69" t="n">
        <v>108064.4471106197</v>
      </c>
      <c r="G112" s="69" t="n">
        <v>776413.9999999995</v>
      </c>
      <c r="H112" s="71" t="n">
        <v>160.2979961416582</v>
      </c>
      <c r="I112" t="inlineStr">
        <is>
          <t>IQR-adjusted; annual total preserved</t>
        </is>
      </c>
    </row>
    <row r="113">
      <c r="A113" t="inlineStr">
        <is>
          <t>Dasol</t>
        </is>
      </c>
      <c r="B113" t="n">
        <v>2025</v>
      </c>
      <c r="C113" t="inlineStr">
        <is>
          <t>Apr</t>
        </is>
      </c>
      <c r="D113" s="69" t="n">
        <v>289660.671693392</v>
      </c>
      <c r="E113" s="70" t="n">
        <v>1.11102220354389</v>
      </c>
      <c r="F113" s="69" t="n">
        <v>321819.4377447958</v>
      </c>
      <c r="G113" s="69" t="n">
        <v>776413.9999999995</v>
      </c>
      <c r="H113" s="71" t="n">
        <v>11.10222035438904</v>
      </c>
      <c r="I113" t="inlineStr">
        <is>
          <t>IQR-adjusted; annual total preserved</t>
        </is>
      </c>
    </row>
    <row r="114">
      <c r="A114" t="inlineStr">
        <is>
          <t>Dasol</t>
        </is>
      </c>
      <c r="B114" t="n">
        <v>2025</v>
      </c>
      <c r="C114" t="inlineStr">
        <is>
          <t>May</t>
        </is>
      </c>
      <c r="D114" s="69" t="n">
        <v>220950.314229601</v>
      </c>
      <c r="E114" s="70" t="n">
        <v>0.4159302925270883</v>
      </c>
      <c r="F114" s="69" t="n">
        <v>91899.92883147002</v>
      </c>
      <c r="G114" s="69" t="n">
        <v>776413.9999999995</v>
      </c>
      <c r="H114" s="71" t="n">
        <v>-58.40697074729118</v>
      </c>
      <c r="I114" t="inlineStr">
        <is>
          <t>IQR-adjusted; annual total preserved</t>
        </is>
      </c>
    </row>
    <row r="115">
      <c r="A115" t="inlineStr">
        <is>
          <t>Dasol</t>
        </is>
      </c>
      <c r="B115" t="n">
        <v>2025</v>
      </c>
      <c r="C115" t="inlineStr">
        <is>
          <t>Jun</t>
        </is>
      </c>
      <c r="D115" s="69" t="n">
        <v>110364.39240534</v>
      </c>
      <c r="E115" s="70" t="n">
        <v>1.262757984972612</v>
      </c>
      <c r="F115" s="69" t="n">
        <v>139363.5177664937</v>
      </c>
      <c r="G115" s="69" t="n">
        <v>776413.9999999995</v>
      </c>
      <c r="H115" s="71" t="n">
        <v>26.27579849726116</v>
      </c>
      <c r="I115" t="inlineStr">
        <is>
          <t>IQR-adjusted; annual total preserved</t>
        </is>
      </c>
    </row>
    <row r="116">
      <c r="A116" t="inlineStr">
        <is>
          <t>Dasol</t>
        </is>
      </c>
      <c r="B116" t="n">
        <v>2025</v>
      </c>
      <c r="C116" t="inlineStr">
        <is>
          <t>Jul</t>
        </is>
      </c>
      <c r="D116" s="69" t="n">
        <v>30945.7472834648</v>
      </c>
      <c r="E116" s="70" t="n">
        <v>0.4039266494487136</v>
      </c>
      <c r="F116" s="69" t="n">
        <v>12499.81201489657</v>
      </c>
      <c r="G116" s="69" t="n">
        <v>776413.9999999995</v>
      </c>
      <c r="H116" s="71" t="n">
        <v>-59.60733505512863</v>
      </c>
      <c r="I116" t="inlineStr">
        <is>
          <t>IQR-adjusted; annual total preserved</t>
        </is>
      </c>
    </row>
    <row r="117">
      <c r="A117" t="inlineStr">
        <is>
          <t>Dasol</t>
        </is>
      </c>
      <c r="B117" t="n">
        <v>2025</v>
      </c>
      <c r="C117" t="inlineStr">
        <is>
          <t>Aug</t>
        </is>
      </c>
      <c r="D117" s="69" t="n">
        <v>7297.07530205582</v>
      </c>
      <c r="E117" s="70" t="n">
        <v>2.390612175998216</v>
      </c>
      <c r="F117" s="69" t="n">
        <v>17444.4770662705</v>
      </c>
      <c r="G117" s="69" t="n">
        <v>776413.9999999995</v>
      </c>
      <c r="H117" s="71" t="n">
        <v>139.0612175998216</v>
      </c>
      <c r="I117" t="inlineStr">
        <is>
          <t>IQR-adjusted; annual total preserved</t>
        </is>
      </c>
    </row>
    <row r="118">
      <c r="A118" t="inlineStr">
        <is>
          <t>Dasol</t>
        </is>
      </c>
      <c r="B118" t="n">
        <v>2025</v>
      </c>
      <c r="C118" t="inlineStr">
        <is>
          <t>Sep</t>
        </is>
      </c>
      <c r="D118" s="69" t="n">
        <v>12764.5390558065</v>
      </c>
      <c r="E118" s="70" t="n">
        <v>1.055376020849112</v>
      </c>
      <c r="F118" s="69" t="n">
        <v>13471.38843669015</v>
      </c>
      <c r="G118" s="69" t="n">
        <v>776413.9999999995</v>
      </c>
      <c r="H118" s="71" t="n">
        <v>5.537602084911231</v>
      </c>
      <c r="I118" t="inlineStr">
        <is>
          <t>IQR-adjusted; annual total preserved</t>
        </is>
      </c>
    </row>
    <row r="119">
      <c r="A119" t="inlineStr">
        <is>
          <t>Dasol</t>
        </is>
      </c>
      <c r="B119" t="n">
        <v>2025</v>
      </c>
      <c r="C119" t="inlineStr">
        <is>
          <t>Oct</t>
        </is>
      </c>
      <c r="D119" s="69" t="n">
        <v>14773.0156714689</v>
      </c>
      <c r="E119" s="70" t="n">
        <v>0.8530010992255521</v>
      </c>
      <c r="F119" s="69" t="n">
        <v>12601.39860663928</v>
      </c>
      <c r="G119" s="69" t="n">
        <v>776413.9999999995</v>
      </c>
      <c r="H119" s="71" t="n">
        <v>-14.69989007744479</v>
      </c>
      <c r="I119" t="inlineStr">
        <is>
          <t>IQR-adjusted; annual total preserved</t>
        </is>
      </c>
    </row>
    <row r="120">
      <c r="A120" t="inlineStr">
        <is>
          <t>Dasol</t>
        </is>
      </c>
      <c r="B120" t="n">
        <v>2025</v>
      </c>
      <c r="C120" t="inlineStr">
        <is>
          <t>Nov</t>
        </is>
      </c>
      <c r="D120" s="69" t="n">
        <v>17856.6958911673</v>
      </c>
      <c r="E120" s="70" t="n">
        <v>0.6577915479079398</v>
      </c>
      <c r="F120" s="69" t="n">
        <v>11745.98363077229</v>
      </c>
      <c r="G120" s="69" t="n">
        <v>776413.9999999995</v>
      </c>
      <c r="H120" s="71" t="n">
        <v>-34.22084520920602</v>
      </c>
      <c r="I120" t="inlineStr">
        <is>
          <t>IQR-adjusted; annual total preserved</t>
        </is>
      </c>
    </row>
    <row r="121">
      <c r="A121" t="inlineStr">
        <is>
          <t>Dasol</t>
        </is>
      </c>
      <c r="B121" t="n">
        <v>2025</v>
      </c>
      <c r="C121" t="inlineStr">
        <is>
          <t>Dec</t>
        </is>
      </c>
      <c r="D121" s="69" t="n">
        <v>23574.0287238625</v>
      </c>
      <c r="E121" s="70" t="n">
        <v>1.926504769840192</v>
      </c>
      <c r="F121" s="69" t="n">
        <v>45415.47878087079</v>
      </c>
      <c r="G121" s="69" t="n">
        <v>776413.9999999995</v>
      </c>
      <c r="H121" s="71" t="n">
        <v>92.65047698401918</v>
      </c>
      <c r="I121" t="inlineStr">
        <is>
          <t>IQR-adjusted; annual total preserved</t>
        </is>
      </c>
    </row>
    <row r="122">
      <c r="A122" t="inlineStr">
        <is>
          <t>Infanta</t>
        </is>
      </c>
      <c r="B122" t="n">
        <v>2024</v>
      </c>
      <c r="C122" t="inlineStr">
        <is>
          <t>Jan</t>
        </is>
      </c>
      <c r="D122" s="69" t="n">
        <v>33773.6848047197</v>
      </c>
      <c r="E122" s="70" t="n">
        <v>0.2361325853313948</v>
      </c>
      <c r="F122" s="69" t="n">
        <v>7975.067509106105</v>
      </c>
      <c r="G122" s="69" t="n">
        <v>357915.9999999997</v>
      </c>
      <c r="H122" s="71" t="n">
        <v>-76.38674146686053</v>
      </c>
      <c r="I122" t="inlineStr">
        <is>
          <t>IQR-adjusted; annual total preserved</t>
        </is>
      </c>
    </row>
    <row r="123">
      <c r="A123" t="inlineStr">
        <is>
          <t>Infanta</t>
        </is>
      </c>
      <c r="B123" t="n">
        <v>2024</v>
      </c>
      <c r="C123" t="inlineStr">
        <is>
          <t>Feb</t>
        </is>
      </c>
      <c r="D123" s="69" t="n">
        <v>6444.17154665654</v>
      </c>
      <c r="E123" s="70" t="n">
        <v>0.09638037133635102</v>
      </c>
      <c r="F123" s="69" t="n">
        <v>621.0916466219048</v>
      </c>
      <c r="G123" s="69" t="n">
        <v>357915.9999999997</v>
      </c>
      <c r="H123" s="71" t="n">
        <v>-90.36196286636489</v>
      </c>
      <c r="I123" t="inlineStr">
        <is>
          <t>IQR-adjusted; annual total preserved</t>
        </is>
      </c>
    </row>
    <row r="124">
      <c r="A124" t="inlineStr">
        <is>
          <t>Infanta</t>
        </is>
      </c>
      <c r="B124" t="n">
        <v>2024</v>
      </c>
      <c r="C124" t="inlineStr">
        <is>
          <t>Mar</t>
        </is>
      </c>
      <c r="D124" s="69" t="n">
        <v>59618.1627761796</v>
      </c>
      <c r="E124" s="70" t="n">
        <v>0.10643345997439</v>
      </c>
      <c r="F124" s="69" t="n">
        <v>6345.367341585179</v>
      </c>
      <c r="G124" s="69" t="n">
        <v>357915.9999999997</v>
      </c>
      <c r="H124" s="71" t="n">
        <v>-89.356654002561</v>
      </c>
      <c r="I124" t="inlineStr">
        <is>
          <t>IQR-adjusted; annual total preserved</t>
        </is>
      </c>
    </row>
    <row r="125">
      <c r="A125" t="inlineStr">
        <is>
          <t>Infanta</t>
        </is>
      </c>
      <c r="B125" t="n">
        <v>2024</v>
      </c>
      <c r="C125" t="inlineStr">
        <is>
          <t>Apr</t>
        </is>
      </c>
      <c r="D125" s="69" t="n">
        <v>88136.9202596659</v>
      </c>
      <c r="E125" s="70" t="n">
        <v>1.678657831591492</v>
      </c>
      <c r="F125" s="69" t="n">
        <v>147951.731446243</v>
      </c>
      <c r="G125" s="69" t="n">
        <v>357915.9999999997</v>
      </c>
      <c r="H125" s="71" t="n">
        <v>67.8657831591492</v>
      </c>
      <c r="I125" t="inlineStr">
        <is>
          <t>IQR-adjusted; annual total preserved</t>
        </is>
      </c>
    </row>
    <row r="126">
      <c r="A126" t="inlineStr">
        <is>
          <t>Infanta</t>
        </is>
      </c>
      <c r="B126" t="n">
        <v>2024</v>
      </c>
      <c r="C126" t="inlineStr">
        <is>
          <t>May</t>
        </is>
      </c>
      <c r="D126" s="69" t="n">
        <v>106483.262029678</v>
      </c>
      <c r="E126" s="70" t="n">
        <v>1.41019776715297</v>
      </c>
      <c r="F126" s="69" t="n">
        <v>150162.4583534166</v>
      </c>
      <c r="G126" s="69" t="n">
        <v>357915.9999999997</v>
      </c>
      <c r="H126" s="71" t="n">
        <v>41.01977671529702</v>
      </c>
      <c r="I126" t="inlineStr">
        <is>
          <t>IQR-adjusted; annual total preserved</t>
        </is>
      </c>
    </row>
    <row r="127">
      <c r="A127" t="inlineStr">
        <is>
          <t>Infanta</t>
        </is>
      </c>
      <c r="B127" t="n">
        <v>2024</v>
      </c>
      <c r="C127" t="inlineStr">
        <is>
          <t>Jun</t>
        </is>
      </c>
      <c r="D127" s="69" t="n">
        <v>38858.6766653162</v>
      </c>
      <c r="E127" s="70" t="n">
        <v>0.7125068551763881</v>
      </c>
      <c r="F127" s="69" t="n">
        <v>27687.07350712054</v>
      </c>
      <c r="G127" s="69" t="n">
        <v>357915.9999999997</v>
      </c>
      <c r="H127" s="71" t="n">
        <v>-28.74931448236119</v>
      </c>
      <c r="I127" t="inlineStr">
        <is>
          <t>IQR-adjusted; annual total preserved</t>
        </is>
      </c>
    </row>
    <row r="128">
      <c r="A128" t="inlineStr">
        <is>
          <t>Infanta</t>
        </is>
      </c>
      <c r="B128" t="n">
        <v>2024</v>
      </c>
      <c r="C128" t="inlineStr">
        <is>
          <t>Jul</t>
        </is>
      </c>
      <c r="D128" s="69" t="n">
        <v>4347.1862023393</v>
      </c>
      <c r="E128" s="70" t="n">
        <v>0.1725709325667742</v>
      </c>
      <c r="F128" s="69" t="n">
        <v>750.1979769791066</v>
      </c>
      <c r="G128" s="69" t="n">
        <v>357915.9999999997</v>
      </c>
      <c r="H128" s="71" t="n">
        <v>-82.74290674332258</v>
      </c>
      <c r="I128" t="inlineStr">
        <is>
          <t>IQR-adjusted; annual total preserved</t>
        </is>
      </c>
    </row>
    <row r="129">
      <c r="A129" t="inlineStr">
        <is>
          <t>Infanta</t>
        </is>
      </c>
      <c r="B129" t="n">
        <v>2024</v>
      </c>
      <c r="C129" t="inlineStr">
        <is>
          <t>Aug</t>
        </is>
      </c>
      <c r="D129" s="69" t="n">
        <v>4400.38603348681</v>
      </c>
      <c r="E129" s="70" t="n">
        <v>1.719072283184462</v>
      </c>
      <c r="F129" s="69" t="n">
        <v>7564.581665479188</v>
      </c>
      <c r="G129" s="69" t="n">
        <v>357915.9999999997</v>
      </c>
      <c r="H129" s="71" t="n">
        <v>71.90722831844616</v>
      </c>
      <c r="I129" t="inlineStr">
        <is>
          <t>IQR-adjusted; annual total preserved</t>
        </is>
      </c>
    </row>
    <row r="130">
      <c r="A130" t="inlineStr">
        <is>
          <t>Infanta</t>
        </is>
      </c>
      <c r="B130" t="n">
        <v>2024</v>
      </c>
      <c r="C130" t="inlineStr">
        <is>
          <t>Sep</t>
        </is>
      </c>
      <c r="D130" s="69" t="n">
        <v>4445.98588875611</v>
      </c>
      <c r="E130" s="70" t="n">
        <v>0.9225497004534847</v>
      </c>
      <c r="F130" s="69" t="n">
        <v>4101.64294989237</v>
      </c>
      <c r="G130" s="69" t="n">
        <v>357915.9999999997</v>
      </c>
      <c r="H130" s="71" t="n">
        <v>-7.745029954651528</v>
      </c>
      <c r="I130" t="inlineStr">
        <is>
          <t>IQR-adjusted; annual total preserved</t>
        </is>
      </c>
    </row>
    <row r="131">
      <c r="A131" t="inlineStr">
        <is>
          <t>Infanta</t>
        </is>
      </c>
      <c r="B131" t="n">
        <v>2024</v>
      </c>
      <c r="C131" t="inlineStr">
        <is>
          <t>Oct</t>
        </is>
      </c>
      <c r="D131" s="69" t="n">
        <v>3845.58779437708</v>
      </c>
      <c r="E131" s="70" t="n">
        <v>0.7536678329983568</v>
      </c>
      <c r="F131" s="69" t="n">
        <v>2898.295819593105</v>
      </c>
      <c r="G131" s="69" t="n">
        <v>357915.9999999997</v>
      </c>
      <c r="H131" s="71" t="n">
        <v>-24.63321670016432</v>
      </c>
      <c r="I131" t="inlineStr">
        <is>
          <t>IQR-adjusted; annual total preserved</t>
        </is>
      </c>
    </row>
    <row r="132">
      <c r="A132" t="inlineStr">
        <is>
          <t>Infanta</t>
        </is>
      </c>
      <c r="B132" t="n">
        <v>2024</v>
      </c>
      <c r="C132" t="inlineStr">
        <is>
          <t>Nov</t>
        </is>
      </c>
      <c r="D132" s="69" t="n">
        <v>3807.587914986</v>
      </c>
      <c r="E132" s="70" t="n">
        <v>0.3143615792296587</v>
      </c>
      <c r="F132" s="69" t="n">
        <v>1196.959350010763</v>
      </c>
      <c r="G132" s="69" t="n">
        <v>357915.9999999997</v>
      </c>
      <c r="H132" s="71" t="n">
        <v>-68.56384207703412</v>
      </c>
      <c r="I132" t="inlineStr">
        <is>
          <t>IQR-adjusted; annual total preserved</t>
        </is>
      </c>
    </row>
    <row r="133">
      <c r="A133" t="inlineStr">
        <is>
          <t>Infanta</t>
        </is>
      </c>
      <c r="B133" t="n">
        <v>2024</v>
      </c>
      <c r="C133" t="inlineStr">
        <is>
          <t>Dec</t>
        </is>
      </c>
      <c r="D133" s="69" t="n">
        <v>3754.38808383849</v>
      </c>
      <c r="E133" s="70" t="n">
        <v>0.1762024647370621</v>
      </c>
      <c r="F133" s="69" t="n">
        <v>661.5324339517974</v>
      </c>
      <c r="G133" s="69" t="n">
        <v>357915.9999999997</v>
      </c>
      <c r="H133" s="71" t="n">
        <v>-82.3797535262938</v>
      </c>
      <c r="I133" t="inlineStr">
        <is>
          <t>IQR-adjusted; annual total preserved</t>
        </is>
      </c>
    </row>
    <row r="134">
      <c r="A134" t="inlineStr">
        <is>
          <t>Infanta</t>
        </is>
      </c>
      <c r="B134" t="n">
        <v>2025</v>
      </c>
      <c r="C134" t="inlineStr">
        <is>
          <t>Jan</t>
        </is>
      </c>
      <c r="D134" s="69" t="n">
        <v>3517.34124162042</v>
      </c>
      <c r="E134" s="70" t="n">
        <v>0.3653103736376361</v>
      </c>
      <c r="F134" s="69" t="n">
        <v>1284.921243187423</v>
      </c>
      <c r="G134" s="69" t="n">
        <v>1436623.000000001</v>
      </c>
      <c r="H134" s="71" t="n">
        <v>-63.46896263623639</v>
      </c>
      <c r="I134" t="inlineStr">
        <is>
          <t>IQR-adjusted; annual total preserved</t>
        </is>
      </c>
    </row>
    <row r="135">
      <c r="A135" t="inlineStr">
        <is>
          <t>Infanta</t>
        </is>
      </c>
      <c r="B135" t="n">
        <v>2025</v>
      </c>
      <c r="C135" t="inlineStr">
        <is>
          <t>Feb</t>
        </is>
      </c>
      <c r="D135" s="69" t="n">
        <v>8901.810428690829</v>
      </c>
      <c r="E135" s="70" t="n">
        <v>5.09400877335709</v>
      </c>
      <c r="F135" s="69" t="n">
        <v>45345.90042251272</v>
      </c>
      <c r="G135" s="69" t="n">
        <v>1436623.000000001</v>
      </c>
      <c r="H135" s="71" t="n">
        <v>409.400877335709</v>
      </c>
      <c r="I135" t="inlineStr">
        <is>
          <t>IQR-adjusted; annual total preserved</t>
        </is>
      </c>
    </row>
    <row r="136">
      <c r="A136" t="inlineStr">
        <is>
          <t>Infanta</t>
        </is>
      </c>
      <c r="B136" t="n">
        <v>2025</v>
      </c>
      <c r="C136" t="inlineStr">
        <is>
          <t>Mar</t>
        </is>
      </c>
      <c r="D136" s="69" t="n">
        <v>76817.7298091003</v>
      </c>
      <c r="E136" s="70" t="n">
        <v>1.182499071736312</v>
      </c>
      <c r="F136" s="69" t="n">
        <v>90836.8941921519</v>
      </c>
      <c r="G136" s="69" t="n">
        <v>1436623.000000001</v>
      </c>
      <c r="H136" s="71" t="n">
        <v>18.24990717363115</v>
      </c>
      <c r="I136" t="inlineStr">
        <is>
          <t>IQR-adjusted; annual total preserved</t>
        </is>
      </c>
    </row>
    <row r="137">
      <c r="A137" t="inlineStr">
        <is>
          <t>Infanta</t>
        </is>
      </c>
      <c r="B137" t="n">
        <v>2025</v>
      </c>
      <c r="C137" t="inlineStr">
        <is>
          <t>Apr</t>
        </is>
      </c>
      <c r="D137" s="69" t="n">
        <v>535968.16022145</v>
      </c>
      <c r="E137" s="70" t="n">
        <v>0.5165201568455074</v>
      </c>
      <c r="F137" s="69" t="n">
        <v>276838.3581817814</v>
      </c>
      <c r="G137" s="69" t="n">
        <v>1436623.000000001</v>
      </c>
      <c r="H137" s="71" t="n">
        <v>-48.34798431544925</v>
      </c>
      <c r="I137" t="inlineStr">
        <is>
          <t>IQR-adjusted; annual total preserved</t>
        </is>
      </c>
    </row>
    <row r="138">
      <c r="A138" t="inlineStr">
        <is>
          <t>Infanta</t>
        </is>
      </c>
      <c r="B138" t="n">
        <v>2025</v>
      </c>
      <c r="C138" t="inlineStr">
        <is>
          <t>May</t>
        </is>
      </c>
      <c r="D138" s="69" t="n">
        <v>408831.246318939</v>
      </c>
      <c r="E138" s="70" t="n">
        <v>0.7246618643917524</v>
      </c>
      <c r="F138" s="69" t="n">
        <v>296264.4131790861</v>
      </c>
      <c r="G138" s="69" t="n">
        <v>1436623.000000001</v>
      </c>
      <c r="H138" s="71" t="n">
        <v>-27.53381356082476</v>
      </c>
      <c r="I138" t="inlineStr">
        <is>
          <t>IQR-adjusted; annual total preserved</t>
        </is>
      </c>
    </row>
    <row r="139">
      <c r="A139" t="inlineStr">
        <is>
          <t>Infanta</t>
        </is>
      </c>
      <c r="B139" t="n">
        <v>2025</v>
      </c>
      <c r="C139" t="inlineStr">
        <is>
          <t>Jun</t>
        </is>
      </c>
      <c r="D139" s="69" t="n">
        <v>204210.671768588</v>
      </c>
      <c r="E139" s="70" t="n">
        <v>1.770213161842952</v>
      </c>
      <c r="F139" s="69" t="n">
        <v>361496.4189535455</v>
      </c>
      <c r="G139" s="69" t="n">
        <v>1436623.000000001</v>
      </c>
      <c r="H139" s="71" t="n">
        <v>77.02131618429524</v>
      </c>
      <c r="I139" t="inlineStr">
        <is>
          <t>IQR-adjusted; annual total preserved</t>
        </is>
      </c>
    </row>
    <row r="140">
      <c r="A140" t="inlineStr">
        <is>
          <t>Infanta</t>
        </is>
      </c>
      <c r="B140" t="n">
        <v>2025</v>
      </c>
      <c r="C140" t="inlineStr">
        <is>
          <t>Jul</t>
        </is>
      </c>
      <c r="D140" s="69" t="n">
        <v>57259.8797801341</v>
      </c>
      <c r="E140" s="70" t="n">
        <v>0.4750748726248419</v>
      </c>
      <c r="F140" s="69" t="n">
        <v>27202.73009306097</v>
      </c>
      <c r="G140" s="69" t="n">
        <v>1436623.000000001</v>
      </c>
      <c r="H140" s="71" t="n">
        <v>-52.49251273751581</v>
      </c>
      <c r="I140" t="inlineStr">
        <is>
          <t>IQR-adjusted; annual total preserved</t>
        </is>
      </c>
    </row>
    <row r="141">
      <c r="A141" t="inlineStr">
        <is>
          <t>Infanta</t>
        </is>
      </c>
      <c r="B141" t="n">
        <v>2025</v>
      </c>
      <c r="C141" t="inlineStr">
        <is>
          <t>Aug</t>
        </is>
      </c>
      <c r="D141" s="69" t="n">
        <v>13502.0056460411</v>
      </c>
      <c r="E141" s="70" t="n">
        <v>4.383092866226623</v>
      </c>
      <c r="F141" s="69" t="n">
        <v>59180.54462691434</v>
      </c>
      <c r="G141" s="69" t="n">
        <v>1436623.000000001</v>
      </c>
      <c r="H141" s="71" t="n">
        <v>338.3092866226623</v>
      </c>
      <c r="I141" t="inlineStr">
        <is>
          <t>IQR-adjusted; annual total preserved</t>
        </is>
      </c>
    </row>
    <row r="142">
      <c r="A142" t="inlineStr">
        <is>
          <t>Infanta</t>
        </is>
      </c>
      <c r="B142" t="n">
        <v>2025</v>
      </c>
      <c r="C142" t="inlineStr">
        <is>
          <t>Sep</t>
        </is>
      </c>
      <c r="D142" s="69" t="n">
        <v>23618.6240742309</v>
      </c>
      <c r="E142" s="70" t="n">
        <v>3.180808585062572</v>
      </c>
      <c r="F142" s="69" t="n">
        <v>75126.32222267918</v>
      </c>
      <c r="G142" s="69" t="n">
        <v>1436623.000000001</v>
      </c>
      <c r="H142" s="71" t="n">
        <v>218.0808585062572</v>
      </c>
      <c r="I142" t="inlineStr">
        <is>
          <t>IQR-adjusted; annual total preserved</t>
        </is>
      </c>
    </row>
    <row r="143">
      <c r="A143" t="inlineStr">
        <is>
          <t>Infanta</t>
        </is>
      </c>
      <c r="B143" t="n">
        <v>2025</v>
      </c>
      <c r="C143" t="inlineStr">
        <is>
          <t>Oct</t>
        </is>
      </c>
      <c r="D143" s="69" t="n">
        <v>27334.9708956725</v>
      </c>
      <c r="E143" s="70" t="n">
        <v>2.799610865557613</v>
      </c>
      <c r="F143" s="69" t="n">
        <v>76527.28152922585</v>
      </c>
      <c r="G143" s="69" t="n">
        <v>1436623.000000001</v>
      </c>
      <c r="H143" s="71" t="n">
        <v>179.9610865557613</v>
      </c>
      <c r="I143" t="inlineStr">
        <is>
          <t>IQR-adjusted; annual total preserved</t>
        </is>
      </c>
    </row>
    <row r="144">
      <c r="A144" t="inlineStr">
        <is>
          <t>Infanta</t>
        </is>
      </c>
      <c r="B144" t="n">
        <v>2025</v>
      </c>
      <c r="C144" t="inlineStr">
        <is>
          <t>Nov</t>
        </is>
      </c>
      <c r="D144" s="69" t="n">
        <v>33040.8004251036</v>
      </c>
      <c r="E144" s="70" t="n">
        <v>1.094417443081121</v>
      </c>
      <c r="F144" s="69" t="n">
        <v>36160.4283185955</v>
      </c>
      <c r="G144" s="69" t="n">
        <v>1436623.000000001</v>
      </c>
      <c r="H144" s="71" t="n">
        <v>9.441744308112089</v>
      </c>
      <c r="I144" t="inlineStr">
        <is>
          <t>IQR-adjusted; annual total preserved</t>
        </is>
      </c>
    </row>
    <row r="145">
      <c r="A145" t="inlineStr">
        <is>
          <t>Infanta</t>
        </is>
      </c>
      <c r="B145" t="n">
        <v>2025</v>
      </c>
      <c r="C145" t="inlineStr">
        <is>
          <t>Dec</t>
        </is>
      </c>
      <c r="D145" s="69" t="n">
        <v>43619.7593904302</v>
      </c>
      <c r="E145" s="70" t="n">
        <v>2.071510441597807</v>
      </c>
      <c r="F145" s="69" t="n">
        <v>90358.78703726013</v>
      </c>
      <c r="G145" s="69" t="n">
        <v>1436623.000000001</v>
      </c>
      <c r="H145" s="71" t="n">
        <v>107.1510441597807</v>
      </c>
      <c r="I145" t="inlineStr">
        <is>
          <t>IQR-adjusted; annual total preserved</t>
        </is>
      </c>
    </row>
    <row r="146">
      <c r="A146" t="inlineStr">
        <is>
          <t>San Fabian</t>
        </is>
      </c>
      <c r="B146" t="n">
        <v>2024</v>
      </c>
      <c r="C146" t="inlineStr">
        <is>
          <t>Jan</t>
        </is>
      </c>
      <c r="D146" s="69" t="n">
        <v>9766.471399122949</v>
      </c>
      <c r="E146" s="70" t="n">
        <v>2.087370809601409</v>
      </c>
      <c r="F146" s="69" t="n">
        <v>20386.24731133627</v>
      </c>
      <c r="G146" s="69" t="n">
        <v>103500</v>
      </c>
      <c r="H146" s="71" t="n">
        <v>108.7370809601409</v>
      </c>
      <c r="I146" t="inlineStr">
        <is>
          <t>IQR-adjusted; annual total preserved</t>
        </is>
      </c>
    </row>
    <row r="147">
      <c r="A147" t="inlineStr">
        <is>
          <t>San Fabian</t>
        </is>
      </c>
      <c r="B147" t="n">
        <v>2024</v>
      </c>
      <c r="C147" t="inlineStr">
        <is>
          <t>Feb</t>
        </is>
      </c>
      <c r="D147" s="69" t="n">
        <v>1863.48683791435</v>
      </c>
      <c r="E147" s="70" t="n">
        <v>2.587785075992806</v>
      </c>
      <c r="F147" s="69" t="n">
        <v>4822.303428463779</v>
      </c>
      <c r="G147" s="69" t="n">
        <v>103500</v>
      </c>
      <c r="H147" s="71" t="n">
        <v>158.7785075992806</v>
      </c>
      <c r="I147" t="inlineStr">
        <is>
          <t>IQR-adjusted; annual total preserved</t>
        </is>
      </c>
    </row>
    <row r="148">
      <c r="A148" t="inlineStr">
        <is>
          <t>San Fabian</t>
        </is>
      </c>
      <c r="B148" t="n">
        <v>2024</v>
      </c>
      <c r="C148" t="inlineStr">
        <is>
          <t>Mar</t>
        </is>
      </c>
      <c r="D148" s="69" t="n">
        <v>17240.0223721057</v>
      </c>
      <c r="E148" s="70" t="n">
        <v>0.4077118230302551</v>
      </c>
      <c r="F148" s="69" t="n">
        <v>7028.960950413599</v>
      </c>
      <c r="G148" s="69" t="n">
        <v>103500</v>
      </c>
      <c r="H148" s="71" t="n">
        <v>-59.22881769697449</v>
      </c>
      <c r="I148" t="inlineStr">
        <is>
          <t>IQR-adjusted; annual total preserved</t>
        </is>
      </c>
    </row>
    <row r="149">
      <c r="A149" t="inlineStr">
        <is>
          <t>San Fabian</t>
        </is>
      </c>
      <c r="B149" t="n">
        <v>2024</v>
      </c>
      <c r="C149" t="inlineStr">
        <is>
          <t>Apr</t>
        </is>
      </c>
      <c r="D149" s="69" t="n">
        <v>25486.9054383582</v>
      </c>
      <c r="E149" s="70" t="n">
        <v>1.204245981835368</v>
      </c>
      <c r="F149" s="69" t="n">
        <v>30692.50346356085</v>
      </c>
      <c r="G149" s="69" t="n">
        <v>103500</v>
      </c>
      <c r="H149" s="71" t="n">
        <v>20.42459818353677</v>
      </c>
      <c r="I149" t="inlineStr">
        <is>
          <t>IQR-adjusted; annual total preserved</t>
        </is>
      </c>
    </row>
    <row r="150">
      <c r="A150" t="inlineStr">
        <is>
          <t>San Fabian</t>
        </is>
      </c>
      <c r="B150" t="n">
        <v>2024</v>
      </c>
      <c r="C150" t="inlineStr">
        <is>
          <t>May</t>
        </is>
      </c>
      <c r="D150" s="69" t="n">
        <v>30792.1904024176</v>
      </c>
      <c r="E150" s="70" t="n">
        <v>0.3544516028621187</v>
      </c>
      <c r="F150" s="69" t="n">
        <v>10914.34124377247</v>
      </c>
      <c r="G150" s="69" t="n">
        <v>103500</v>
      </c>
      <c r="H150" s="71" t="n">
        <v>-64.55483971378813</v>
      </c>
      <c r="I150" t="inlineStr">
        <is>
          <t>IQR-adjusted; annual total preserved</t>
        </is>
      </c>
    </row>
    <row r="151">
      <c r="A151" t="inlineStr">
        <is>
          <t>San Fabian</t>
        </is>
      </c>
      <c r="B151" t="n">
        <v>2024</v>
      </c>
      <c r="C151" t="inlineStr">
        <is>
          <t>Jun</t>
        </is>
      </c>
      <c r="D151" s="69" t="n">
        <v>11236.9188157563</v>
      </c>
      <c r="E151" s="70" t="n">
        <v>1.55487213459896</v>
      </c>
      <c r="F151" s="69" t="n">
        <v>17471.97194537022</v>
      </c>
      <c r="G151" s="69" t="n">
        <v>103500</v>
      </c>
      <c r="H151" s="71" t="n">
        <v>55.48721345989603</v>
      </c>
      <c r="I151" t="inlineStr">
        <is>
          <t>IQR-adjusted; annual total preserved</t>
        </is>
      </c>
    </row>
    <row r="152">
      <c r="A152" t="inlineStr">
        <is>
          <t>San Fabian</t>
        </is>
      </c>
      <c r="B152" t="n">
        <v>2024</v>
      </c>
      <c r="C152" t="inlineStr">
        <is>
          <t>Jul</t>
        </is>
      </c>
      <c r="D152" s="69" t="n">
        <v>1257.09320606544</v>
      </c>
      <c r="E152" s="70" t="n">
        <v>0.9093198311407998</v>
      </c>
      <c r="F152" s="69" t="n">
        <v>1143.099781867673</v>
      </c>
      <c r="G152" s="69" t="n">
        <v>103500</v>
      </c>
      <c r="H152" s="71" t="n">
        <v>-9.068016885920017</v>
      </c>
      <c r="I152" t="inlineStr">
        <is>
          <t>IQR-adjusted; annual total preserved</t>
        </is>
      </c>
    </row>
    <row r="153">
      <c r="A153" t="inlineStr">
        <is>
          <t>San Fabian</t>
        </is>
      </c>
      <c r="B153" t="n">
        <v>2024</v>
      </c>
      <c r="C153" t="inlineStr">
        <is>
          <t>Aug</t>
        </is>
      </c>
      <c r="D153" s="69" t="n">
        <v>1272.47721383197</v>
      </c>
      <c r="E153" s="70" t="n">
        <v>0.4961754000365127</v>
      </c>
      <c r="F153" s="69" t="n">
        <v>631.3718906104248</v>
      </c>
      <c r="G153" s="69" t="n">
        <v>103500</v>
      </c>
      <c r="H153" s="71" t="n">
        <v>-50.38245999634874</v>
      </c>
      <c r="I153" t="inlineStr">
        <is>
          <t>IQR-adjusted; annual total preserved</t>
        </is>
      </c>
    </row>
    <row r="154">
      <c r="A154" t="inlineStr">
        <is>
          <t>San Fabian</t>
        </is>
      </c>
      <c r="B154" t="n">
        <v>2024</v>
      </c>
      <c r="C154" t="inlineStr">
        <is>
          <t>Sep</t>
        </is>
      </c>
      <c r="D154" s="69" t="n">
        <v>1285.66350620329</v>
      </c>
      <c r="E154" s="70" t="n">
        <v>0.4337751284115662</v>
      </c>
      <c r="F154" s="69" t="n">
        <v>557.6888524973965</v>
      </c>
      <c r="G154" s="69" t="n">
        <v>103500</v>
      </c>
      <c r="H154" s="71" t="n">
        <v>-56.62248715884338</v>
      </c>
      <c r="I154" t="inlineStr">
        <is>
          <t>IQR-adjusted; annual total preserved</t>
        </is>
      </c>
    </row>
    <row r="155">
      <c r="A155" t="inlineStr">
        <is>
          <t>San Fabian</t>
        </is>
      </c>
      <c r="B155" t="n">
        <v>2024</v>
      </c>
      <c r="C155" t="inlineStr">
        <is>
          <t>Oct</t>
        </is>
      </c>
      <c r="D155" s="69" t="n">
        <v>1112.04398998097</v>
      </c>
      <c r="E155" s="70" t="n">
        <v>2.111708284200454</v>
      </c>
      <c r="F155" s="69" t="n">
        <v>2348.312506038142</v>
      </c>
      <c r="G155" s="69" t="n">
        <v>103500</v>
      </c>
      <c r="H155" s="71" t="n">
        <v>111.1708284200454</v>
      </c>
      <c r="I155" t="inlineStr">
        <is>
          <t>IQR-adjusted; annual total preserved</t>
        </is>
      </c>
    </row>
    <row r="156">
      <c r="A156" t="inlineStr">
        <is>
          <t>San Fabian</t>
        </is>
      </c>
      <c r="B156" t="n">
        <v>2024</v>
      </c>
      <c r="C156" t="inlineStr">
        <is>
          <t>Nov</t>
        </is>
      </c>
      <c r="D156" s="69" t="n">
        <v>1101.05541300487</v>
      </c>
      <c r="E156" s="70" t="n">
        <v>0.5403053059097233</v>
      </c>
      <c r="F156" s="69" t="n">
        <v>594.9060817471529</v>
      </c>
      <c r="G156" s="69" t="n">
        <v>103500</v>
      </c>
      <c r="H156" s="71" t="n">
        <v>-45.96946940902767</v>
      </c>
      <c r="I156" t="inlineStr">
        <is>
          <t>IQR-adjusted; annual total preserved</t>
        </is>
      </c>
    </row>
    <row r="157">
      <c r="A157" t="inlineStr">
        <is>
          <t>San Fabian</t>
        </is>
      </c>
      <c r="B157" t="n">
        <v>2024</v>
      </c>
      <c r="C157" t="inlineStr">
        <is>
          <t>Dec</t>
        </is>
      </c>
      <c r="D157" s="69" t="n">
        <v>1085.67140523833</v>
      </c>
      <c r="E157" s="70" t="n">
        <v>6.363152341481708</v>
      </c>
      <c r="F157" s="69" t="n">
        <v>6908.292544322016</v>
      </c>
      <c r="G157" s="69" t="n">
        <v>103500</v>
      </c>
      <c r="H157" s="71" t="n">
        <v>536.3152341481708</v>
      </c>
      <c r="I157" t="inlineStr">
        <is>
          <t>IQR-adjusted; annual total preserved</t>
        </is>
      </c>
    </row>
    <row r="158">
      <c r="A158" t="inlineStr">
        <is>
          <t>San Fabian</t>
        </is>
      </c>
      <c r="B158" t="n">
        <v>2025</v>
      </c>
      <c r="C158" t="inlineStr">
        <is>
          <t>Jan</t>
        </is>
      </c>
      <c r="D158" s="69" t="n">
        <v>259.524016817053</v>
      </c>
      <c r="E158" s="70" t="n">
        <v>0.7095228849677456</v>
      </c>
      <c r="F158" s="69" t="n">
        <v>184.1382291304532</v>
      </c>
      <c r="G158" s="69" t="n">
        <v>106000</v>
      </c>
      <c r="H158" s="71" t="n">
        <v>-29.04771150322544</v>
      </c>
      <c r="I158" t="inlineStr">
        <is>
          <t>IQR-adjusted; annual total preserved</t>
        </is>
      </c>
    </row>
    <row r="159">
      <c r="A159" t="inlineStr">
        <is>
          <t>San Fabian</t>
        </is>
      </c>
      <c r="B159" t="n">
        <v>2025</v>
      </c>
      <c r="C159" t="inlineStr">
        <is>
          <t>Feb</t>
        </is>
      </c>
      <c r="D159" s="69" t="n">
        <v>656.812473029618</v>
      </c>
      <c r="E159" s="70" t="n">
        <v>0.3300178697888448</v>
      </c>
      <c r="F159" s="69" t="n">
        <v>216.7598531999776</v>
      </c>
      <c r="G159" s="69" t="n">
        <v>106000</v>
      </c>
      <c r="H159" s="71" t="n">
        <v>-66.99821302111553</v>
      </c>
      <c r="I159" t="inlineStr">
        <is>
          <t>IQR-adjusted; annual total preserved</t>
        </is>
      </c>
    </row>
    <row r="160">
      <c r="A160" t="inlineStr">
        <is>
          <t>San Fabian</t>
        </is>
      </c>
      <c r="B160" t="n">
        <v>2025</v>
      </c>
      <c r="C160" t="inlineStr">
        <is>
          <t>Mar</t>
        </is>
      </c>
      <c r="D160" s="69" t="n">
        <v>5667.9305285831</v>
      </c>
      <c r="E160" s="70" t="n">
        <v>0.7327476299660964</v>
      </c>
      <c r="F160" s="69" t="n">
        <v>4153.162661631751</v>
      </c>
      <c r="G160" s="69" t="n">
        <v>106000</v>
      </c>
      <c r="H160" s="71" t="n">
        <v>-26.72523700339035</v>
      </c>
      <c r="I160" t="inlineStr">
        <is>
          <t>IQR-adjusted; annual total preserved</t>
        </is>
      </c>
    </row>
    <row r="161">
      <c r="A161" t="inlineStr">
        <is>
          <t>San Fabian</t>
        </is>
      </c>
      <c r="B161" t="n">
        <v>2025</v>
      </c>
      <c r="C161" t="inlineStr">
        <is>
          <t>Apr</t>
        </is>
      </c>
      <c r="D161" s="69" t="n">
        <v>39545.952545291</v>
      </c>
      <c r="E161" s="70" t="n">
        <v>0.1144283619915809</v>
      </c>
      <c r="F161" s="69" t="n">
        <v>4525.178573154439</v>
      </c>
      <c r="G161" s="69" t="n">
        <v>106000</v>
      </c>
      <c r="H161" s="71" t="n">
        <v>-88.55716380084191</v>
      </c>
      <c r="I161" t="inlineStr">
        <is>
          <t>IQR-adjusted; annual total preserved</t>
        </is>
      </c>
    </row>
    <row r="162">
      <c r="A162" t="inlineStr">
        <is>
          <t>San Fabian</t>
        </is>
      </c>
      <c r="B162" t="n">
        <v>2025</v>
      </c>
      <c r="C162" t="inlineStr">
        <is>
          <t>May</t>
        </is>
      </c>
      <c r="D162" s="69" t="n">
        <v>30165.2640322531</v>
      </c>
      <c r="E162" s="70" t="n">
        <v>2.43677716999257</v>
      </c>
      <c r="F162" s="69" t="n">
        <v>73506.02672059239</v>
      </c>
      <c r="G162" s="69" t="n">
        <v>106000</v>
      </c>
      <c r="H162" s="71" t="n">
        <v>143.677716999257</v>
      </c>
      <c r="I162" t="inlineStr">
        <is>
          <t>IQR-adjusted; annual total preserved</t>
        </is>
      </c>
    </row>
    <row r="163">
      <c r="A163" t="inlineStr">
        <is>
          <t>San Fabian</t>
        </is>
      </c>
      <c r="B163" t="n">
        <v>2025</v>
      </c>
      <c r="C163" t="inlineStr">
        <is>
          <t>Jun</t>
        </is>
      </c>
      <c r="D163" s="69" t="n">
        <v>15067.509852947</v>
      </c>
      <c r="E163" s="70" t="n">
        <v>0.5137859583620302</v>
      </c>
      <c r="F163" s="69" t="n">
        <v>7741.474989925708</v>
      </c>
      <c r="G163" s="69" t="n">
        <v>106000</v>
      </c>
      <c r="H163" s="71" t="n">
        <v>-48.62140416379697</v>
      </c>
      <c r="I163" t="inlineStr">
        <is>
          <t>IQR-adjusted; annual total preserved</t>
        </is>
      </c>
    </row>
    <row r="164">
      <c r="A164" t="inlineStr">
        <is>
          <t>San Fabian</t>
        </is>
      </c>
      <c r="B164" t="n">
        <v>2025</v>
      </c>
      <c r="C164" t="inlineStr">
        <is>
          <t>Jul</t>
        </is>
      </c>
      <c r="D164" s="69" t="n">
        <v>4224.87128264981</v>
      </c>
      <c r="E164" s="70" t="n">
        <v>1.371632952719314</v>
      </c>
      <c r="F164" s="69" t="n">
        <v>5794.972672279993</v>
      </c>
      <c r="G164" s="69" t="n">
        <v>106000</v>
      </c>
      <c r="H164" s="71" t="n">
        <v>37.16329527193136</v>
      </c>
      <c r="I164" t="inlineStr">
        <is>
          <t>IQR-adjusted; annual total preserved</t>
        </is>
      </c>
    </row>
    <row r="165">
      <c r="A165" t="inlineStr">
        <is>
          <t>San Fabian</t>
        </is>
      </c>
      <c r="B165" t="n">
        <v>2025</v>
      </c>
      <c r="C165" t="inlineStr">
        <is>
          <t>Aug</t>
        </is>
      </c>
      <c r="D165" s="69" t="n">
        <v>996.233944799961</v>
      </c>
      <c r="E165" s="70" t="n">
        <v>0.1391865837931889</v>
      </c>
      <c r="F165" s="69" t="n">
        <v>138.6623994355189</v>
      </c>
      <c r="G165" s="69" t="n">
        <v>106000</v>
      </c>
      <c r="H165" s="71" t="n">
        <v>-86.0813416206811</v>
      </c>
      <c r="I165" t="inlineStr">
        <is>
          <t>IQR-adjusted; annual total preserved</t>
        </is>
      </c>
    </row>
    <row r="166">
      <c r="A166" t="inlineStr">
        <is>
          <t>San Fabian</t>
        </is>
      </c>
      <c r="B166" t="n">
        <v>2025</v>
      </c>
      <c r="C166" t="inlineStr">
        <is>
          <t>Sep</t>
        </is>
      </c>
      <c r="D166" s="69" t="n">
        <v>1742.67998762965</v>
      </c>
      <c r="E166" s="70" t="n">
        <v>0.5211513867957823</v>
      </c>
      <c r="F166" s="69" t="n">
        <v>908.200092294449</v>
      </c>
      <c r="G166" s="69" t="n">
        <v>106000</v>
      </c>
      <c r="H166" s="71" t="n">
        <v>-47.88486132042177</v>
      </c>
      <c r="I166" t="inlineStr">
        <is>
          <t>IQR-adjusted; annual total preserved</t>
        </is>
      </c>
    </row>
    <row r="167">
      <c r="A167" t="inlineStr">
        <is>
          <t>San Fabian</t>
        </is>
      </c>
      <c r="B167" t="n">
        <v>2025</v>
      </c>
      <c r="C167" t="inlineStr">
        <is>
          <t>Oct</t>
        </is>
      </c>
      <c r="D167" s="69" t="n">
        <v>2016.88746103973</v>
      </c>
      <c r="E167" s="70" t="n">
        <v>0.5280935680113933</v>
      </c>
      <c r="F167" s="69" t="n">
        <v>1065.105295577911</v>
      </c>
      <c r="G167" s="69" t="n">
        <v>106000</v>
      </c>
      <c r="H167" s="71" t="n">
        <v>-47.19064319886067</v>
      </c>
      <c r="I167" t="inlineStr">
        <is>
          <t>IQR-adjusted; annual total preserved</t>
        </is>
      </c>
    </row>
    <row r="168">
      <c r="A168" t="inlineStr">
        <is>
          <t>San Fabian</t>
        </is>
      </c>
      <c r="B168" t="n">
        <v>2025</v>
      </c>
      <c r="C168" t="inlineStr">
        <is>
          <t>Nov</t>
        </is>
      </c>
      <c r="D168" s="69" t="n">
        <v>2437.88721540793</v>
      </c>
      <c r="E168" s="70" t="n">
        <v>2.27712130640861</v>
      </c>
      <c r="F168" s="69" t="n">
        <v>5551.364920826553</v>
      </c>
      <c r="G168" s="69" t="n">
        <v>106000</v>
      </c>
      <c r="H168" s="71" t="n">
        <v>127.712130640861</v>
      </c>
      <c r="I168" t="inlineStr">
        <is>
          <t>IQR-adjusted; annual total preserved</t>
        </is>
      </c>
    </row>
    <row r="169">
      <c r="A169" t="inlineStr">
        <is>
          <t>San Fabian</t>
        </is>
      </c>
      <c r="B169" t="n">
        <v>2025</v>
      </c>
      <c r="C169" t="inlineStr">
        <is>
          <t>Dec</t>
        </is>
      </c>
      <c r="D169" s="69" t="n">
        <v>3218.44665955202</v>
      </c>
      <c r="E169" s="70" t="n">
        <v>0.6882057794486246</v>
      </c>
      <c r="F169" s="69" t="n">
        <v>2214.95359195082</v>
      </c>
      <c r="G169" s="69" t="n">
        <v>106000</v>
      </c>
      <c r="H169" s="71" t="n">
        <v>-31.17942205513754</v>
      </c>
      <c r="I169" t="inlineStr">
        <is>
          <t>IQR-adjusted; annual total preserved</t>
        </is>
      </c>
    </row>
  </sheetData>
  <autoFilter ref="A1:I169"/>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8" customWidth="1" min="3" max="3"/>
    <col width="28" customWidth="1" min="4" max="4"/>
    <col width="27" customWidth="1" min="5" max="5"/>
    <col width="27" customWidth="1" min="6" max="6"/>
    <col width="21" customWidth="1" min="7" max="7"/>
    <col width="38" customWidth="1" min="8" max="8"/>
  </cols>
  <sheetData>
    <row r="1" ht="34" customHeight="1">
      <c r="A1" s="68" t="inlineStr">
        <is>
          <t>Municipality</t>
        </is>
      </c>
      <c r="B1" s="68" t="inlineStr">
        <is>
          <t>Year</t>
        </is>
      </c>
      <c r="C1" s="68" t="inlineStr">
        <is>
          <t>Original annual total (kg)</t>
        </is>
      </c>
      <c r="D1" s="68" t="inlineStr">
        <is>
          <t>Adjusted annual total (kg)</t>
        </is>
      </c>
      <c r="E1" s="68" t="inlineStr">
        <is>
          <t>Original monthly-share CV</t>
        </is>
      </c>
      <c r="F1" s="68" t="inlineStr">
        <is>
          <t>Adjusted monthly-share CV</t>
        </is>
      </c>
      <c r="G1" s="68" t="inlineStr">
        <is>
          <t>CV change (%)</t>
        </is>
      </c>
      <c r="H1" s="68" t="inlineStr">
        <is>
          <t>Treatment</t>
        </is>
      </c>
    </row>
    <row r="2">
      <c r="A2" t="inlineStr">
        <is>
          <t>Alaminos City</t>
        </is>
      </c>
      <c r="B2" t="n">
        <v>2024</v>
      </c>
      <c r="C2" s="69" t="n">
        <v>446350.0000000006</v>
      </c>
      <c r="D2" s="69" t="n">
        <v>446350.0000000006</v>
      </c>
      <c r="E2" s="71" t="n">
        <v>1.17662460652331</v>
      </c>
      <c r="F2" s="71" t="n">
        <v>1.17662460652331</v>
      </c>
      <c r="G2" s="71" t="n">
        <v>0</v>
      </c>
      <c r="H2" t="inlineStr">
        <is>
          <t>Unchanged reference</t>
        </is>
      </c>
    </row>
    <row r="3">
      <c r="A3" t="inlineStr">
        <is>
          <t>Alaminos City</t>
        </is>
      </c>
      <c r="B3" t="n">
        <v>2025</v>
      </c>
      <c r="C3" s="69" t="n">
        <v>1099260</v>
      </c>
      <c r="D3" s="69" t="n">
        <v>1099260</v>
      </c>
      <c r="E3" s="71" t="n">
        <v>1.401593982527264</v>
      </c>
      <c r="F3" s="71" t="n">
        <v>1.401593982527264</v>
      </c>
      <c r="G3" s="71" t="n">
        <v>0</v>
      </c>
      <c r="H3" t="inlineStr">
        <is>
          <t>Unchanged reference</t>
        </is>
      </c>
    </row>
    <row r="4">
      <c r="A4" t="inlineStr">
        <is>
          <t>Anda</t>
        </is>
      </c>
      <c r="B4" t="n">
        <v>2024</v>
      </c>
      <c r="C4" s="69" t="n">
        <v>115600</v>
      </c>
      <c r="D4" s="69" t="n">
        <v>115600</v>
      </c>
      <c r="E4" s="71" t="n">
        <v>1.176624606523309</v>
      </c>
      <c r="F4" s="71" t="n">
        <v>1.262744463086884</v>
      </c>
      <c r="G4" s="71" t="n">
        <v>7.319229606972288</v>
      </c>
      <c r="H4" t="inlineStr">
        <is>
          <t>IQR-adjusted; annual total preserved</t>
        </is>
      </c>
    </row>
    <row r="5">
      <c r="A5" t="inlineStr">
        <is>
          <t>Anda</t>
        </is>
      </c>
      <c r="B5" t="n">
        <v>2025</v>
      </c>
      <c r="C5" s="69" t="n">
        <v>1332211</v>
      </c>
      <c r="D5" s="69" t="n">
        <v>1332211</v>
      </c>
      <c r="E5" s="71" t="n">
        <v>1.401593982527264</v>
      </c>
      <c r="F5" s="71" t="n">
        <v>1.102941123240075</v>
      </c>
      <c r="G5" s="71" t="n">
        <v>-21.30808657930147</v>
      </c>
      <c r="H5" t="inlineStr">
        <is>
          <t>IQR-adjusted; annual total preserved</t>
        </is>
      </c>
    </row>
    <row r="6">
      <c r="A6" t="inlineStr">
        <is>
          <t>Bani</t>
        </is>
      </c>
      <c r="B6" t="n">
        <v>2024</v>
      </c>
      <c r="C6" s="69" t="n">
        <v>649399.9999999998</v>
      </c>
      <c r="D6" s="69" t="n">
        <v>649399.9999999998</v>
      </c>
      <c r="E6" s="71" t="n">
        <v>1.17662460652331</v>
      </c>
      <c r="F6" s="71" t="n">
        <v>1.096206136649268</v>
      </c>
      <c r="G6" s="71" t="n">
        <v>-6.834675174069593</v>
      </c>
      <c r="H6" t="inlineStr">
        <is>
          <t>IQR-adjusted; annual total preserved</t>
        </is>
      </c>
    </row>
    <row r="7">
      <c r="A7" t="inlineStr">
        <is>
          <t>Bani</t>
        </is>
      </c>
      <c r="B7" t="n">
        <v>2025</v>
      </c>
      <c r="C7" s="69" t="n">
        <v>607800.0000000005</v>
      </c>
      <c r="D7" s="69" t="n">
        <v>607800.0000000005</v>
      </c>
      <c r="E7" s="71" t="n">
        <v>1.401593982527264</v>
      </c>
      <c r="F7" s="71" t="n">
        <v>1.532328101648777</v>
      </c>
      <c r="G7" s="71" t="n">
        <v>9.327531421459279</v>
      </c>
      <c r="H7" t="inlineStr">
        <is>
          <t>IQR-adjusted; annual total preserved</t>
        </is>
      </c>
    </row>
    <row r="8">
      <c r="A8" t="inlineStr">
        <is>
          <t>Bolinao</t>
        </is>
      </c>
      <c r="B8" t="n">
        <v>2024</v>
      </c>
      <c r="C8" s="69" t="n">
        <v>21825</v>
      </c>
      <c r="D8" s="69" t="n">
        <v>21825</v>
      </c>
      <c r="E8" s="71" t="n">
        <v>1.17662460652331</v>
      </c>
      <c r="F8" s="71" t="n">
        <v>1.86456225255392</v>
      </c>
      <c r="G8" s="71" t="n">
        <v>58.46704566746463</v>
      </c>
      <c r="H8" t="inlineStr">
        <is>
          <t>IQR-adjusted; annual total preserved</t>
        </is>
      </c>
    </row>
    <row r="9">
      <c r="A9" t="inlineStr">
        <is>
          <t>Bolinao</t>
        </is>
      </c>
      <c r="B9" t="n">
        <v>2025</v>
      </c>
      <c r="C9" s="69" t="n">
        <v>4461916.999999998</v>
      </c>
      <c r="D9" s="69" t="n">
        <v>4461916.999999998</v>
      </c>
      <c r="E9" s="71" t="n">
        <v>1.401593982527263</v>
      </c>
      <c r="F9" s="71" t="n">
        <v>1.82728334135558</v>
      </c>
      <c r="G9" s="71" t="n">
        <v>30.37180268573512</v>
      </c>
      <c r="H9" t="inlineStr">
        <is>
          <t>IQR-adjusted; annual total preserved</t>
        </is>
      </c>
    </row>
    <row r="10">
      <c r="A10" t="inlineStr">
        <is>
          <t>Dasol</t>
        </is>
      </c>
      <c r="B10" t="n">
        <v>2024</v>
      </c>
      <c r="C10" s="69" t="n">
        <v>579267</v>
      </c>
      <c r="D10" s="69" t="n">
        <v>579267</v>
      </c>
      <c r="E10" s="71" t="n">
        <v>1.17662460652331</v>
      </c>
      <c r="F10" s="71" t="n">
        <v>1.179722561634023</v>
      </c>
      <c r="G10" s="71" t="n">
        <v>0.26329171543229</v>
      </c>
      <c r="H10" t="inlineStr">
        <is>
          <t>IQR-adjusted; annual total preserved</t>
        </is>
      </c>
    </row>
    <row r="11">
      <c r="A11" t="inlineStr">
        <is>
          <t>Dasol</t>
        </is>
      </c>
      <c r="B11" t="n">
        <v>2025</v>
      </c>
      <c r="C11" s="69" t="n">
        <v>776413.9999999995</v>
      </c>
      <c r="D11" s="69" t="n">
        <v>776413.9999999995</v>
      </c>
      <c r="E11" s="71" t="n">
        <v>1.401593982527262</v>
      </c>
      <c r="F11" s="71" t="n">
        <v>1.38155249462585</v>
      </c>
      <c r="G11" s="71" t="n">
        <v>-1.429906816899651</v>
      </c>
      <c r="H11" t="inlineStr">
        <is>
          <t>IQR-adjusted; annual total preserved</t>
        </is>
      </c>
    </row>
    <row r="12">
      <c r="A12" t="inlineStr">
        <is>
          <t>Infanta</t>
        </is>
      </c>
      <c r="B12" t="n">
        <v>2024</v>
      </c>
      <c r="C12" s="69" t="n">
        <v>357915.9999999997</v>
      </c>
      <c r="D12" s="69" t="n">
        <v>357915.9999999997</v>
      </c>
      <c r="E12" s="71" t="n">
        <v>1.176624606523309</v>
      </c>
      <c r="F12" s="71" t="n">
        <v>1.803400759641647</v>
      </c>
      <c r="G12" s="71" t="n">
        <v>53.26899927499697</v>
      </c>
      <c r="H12" t="inlineStr">
        <is>
          <t>IQR-adjusted; annual total preserved</t>
        </is>
      </c>
    </row>
    <row r="13">
      <c r="A13" t="inlineStr">
        <is>
          <t>Infanta</t>
        </is>
      </c>
      <c r="B13" t="n">
        <v>2025</v>
      </c>
      <c r="C13" s="69" t="n">
        <v>1436623.000000001</v>
      </c>
      <c r="D13" s="69" t="n">
        <v>1436623.000000001</v>
      </c>
      <c r="E13" s="71" t="n">
        <v>1.401593982527264</v>
      </c>
      <c r="F13" s="71" t="n">
        <v>0.9603605890744067</v>
      </c>
      <c r="G13" s="71" t="n">
        <v>-31.48082818229954</v>
      </c>
      <c r="H13" t="inlineStr">
        <is>
          <t>IQR-adjusted; annual total preserved</t>
        </is>
      </c>
    </row>
    <row r="14">
      <c r="A14" t="inlineStr">
        <is>
          <t>San Fabian</t>
        </is>
      </c>
      <c r="B14" t="n">
        <v>2024</v>
      </c>
      <c r="C14" s="69" t="n">
        <v>103500</v>
      </c>
      <c r="D14" s="69" t="n">
        <v>103500</v>
      </c>
      <c r="E14" s="71" t="n">
        <v>1.176624606523309</v>
      </c>
      <c r="F14" s="71" t="n">
        <v>1.067676593062173</v>
      </c>
      <c r="G14" s="71" t="n">
        <v>-9.259368948866054</v>
      </c>
      <c r="H14" t="inlineStr">
        <is>
          <t>IQR-adjusted; annual total preserved</t>
        </is>
      </c>
    </row>
    <row r="15">
      <c r="A15" t="inlineStr">
        <is>
          <t>San Fabian</t>
        </is>
      </c>
      <c r="B15" t="n">
        <v>2025</v>
      </c>
      <c r="C15" s="69" t="n">
        <v>106000</v>
      </c>
      <c r="D15" s="69" t="n">
        <v>106000</v>
      </c>
      <c r="E15" s="71" t="n">
        <v>1.401593982527263</v>
      </c>
      <c r="F15" s="71" t="n">
        <v>2.225093269991903</v>
      </c>
      <c r="G15" s="71" t="n">
        <v>58.75448223455984</v>
      </c>
      <c r="H15" t="inlineStr">
        <is>
          <t>IQR-adjusted; annual total preserved</t>
        </is>
      </c>
    </row>
  </sheetData>
  <autoFilter ref="A1:H15"/>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7" customWidth="1" min="1" max="1"/>
    <col width="48" customWidth="1" min="2" max="2"/>
  </cols>
  <sheetData>
    <row r="1" ht="34" customHeight="1">
      <c r="A1" s="68" t="inlineStr">
        <is>
          <t>Assumption</t>
        </is>
      </c>
      <c r="B1" s="68" t="inlineStr">
        <is>
          <t>Value</t>
        </is>
      </c>
    </row>
    <row r="2">
      <c r="A2" t="inlineStr">
        <is>
          <t>Purpose</t>
        </is>
      </c>
      <c r="B2" t="inlineStr">
        <is>
          <t>Change estimated monthly allocations for 2024 and 2025 only; not a 2026 prediction.</t>
        </is>
      </c>
    </row>
    <row r="3">
      <c r="A3" t="inlineStr">
        <is>
          <t>Reference</t>
        </is>
      </c>
      <c r="B3" t="inlineStr">
        <is>
          <t>Alaminos City monthly production, 2024 and 2025, in the original estimates workbook.</t>
        </is>
      </c>
    </row>
    <row r="4">
      <c r="A4" t="inlineStr">
        <is>
          <t>Reference statistic</t>
        </is>
      </c>
      <c r="B4" t="inlineStr">
        <is>
          <t>Twelve same-month log changes: ln(Alaminos 2025 month / Alaminos 2024 month).</t>
        </is>
      </c>
    </row>
    <row r="5">
      <c r="A5" t="inlineStr">
        <is>
          <t>Q1 lower bound (log change)</t>
        </is>
      </c>
      <c r="B5" t="n">
        <v>0.4331660538101852</v>
      </c>
    </row>
    <row r="6">
      <c r="A6" t="inlineStr">
        <is>
          <t>Median (log change)</t>
        </is>
      </c>
      <c r="B6" t="n">
        <v>1.176164275534832</v>
      </c>
    </row>
    <row r="7">
      <c r="A7" t="inlineStr">
        <is>
          <t>Q3 upper bound (log change)</t>
        </is>
      </c>
      <c r="B7" t="n">
        <v>1.522654052633679</v>
      </c>
    </row>
    <row r="8">
      <c r="A8" t="inlineStr">
        <is>
          <t>IQR amplitude strength</t>
        </is>
      </c>
      <c r="B8" t="n">
        <v>3</v>
      </c>
    </row>
    <row r="9">
      <c r="A9" t="inlineStr">
        <is>
          <t>Noise formula</t>
        </is>
      </c>
      <c r="B9" t="inlineStr">
        <is>
          <t>r_m = exp(strength * (U_m - median)); U_m is sampled uniformly from [Q1,Q3].</t>
        </is>
      </c>
    </row>
    <row r="10">
      <c r="A10" t="inlineStr">
        <is>
          <t>Annual-total constraint</t>
        </is>
      </c>
      <c r="B10" t="inlineStr">
        <is>
          <t>adjusted_m = original_m * r_m * original_annual_total / sum(original_j * r_j). Sum of adjusted months therefore equals original annual total.</t>
        </is>
      </c>
    </row>
    <row r="11">
      <c r="A11" t="inlineStr">
        <is>
          <t>Random seed</t>
        </is>
      </c>
      <c r="B11" t="n">
        <v>42</v>
      </c>
    </row>
    <row r="12">
      <c r="A12" t="inlineStr">
        <is>
          <t>Multiplier bounds before annual normalization</t>
        </is>
      </c>
      <c r="B12" t="inlineStr">
        <is>
          <t>0.1076 to 2.8277.</t>
        </is>
      </c>
    </row>
    <row r="13">
      <c r="A13" t="inlineStr">
        <is>
          <t>Alaminos City</t>
        </is>
      </c>
      <c r="B13" t="inlineStr">
        <is>
          <t>Both years stay unchanged and are the variability reference.</t>
        </is>
      </c>
    </row>
    <row r="14">
      <c r="A14" t="inlineStr">
        <is>
          <t>Other municipalities</t>
        </is>
      </c>
      <c r="B14" t="inlineStr">
        <is>
          <t>Independent stochastic monthly variation is applied to each municipality-year (2024 and 2025).</t>
        </is>
      </c>
    </row>
    <row r="15">
      <c r="A15" t="inlineStr">
        <is>
          <t>Interpretation</t>
        </is>
      </c>
      <c r="B15" t="inlineStr">
        <is>
          <t>Synthetic historical monthly scenarios. More variation is created by a 3x IQR amplitude; exact match to real monthly data cannot be asserted without municipality-specific observed monthly records.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8" customWidth="1" min="1" max="1"/>
    <col width="18" customWidth="1" min="10" max="10"/>
  </cols>
  <sheetData>
    <row r="1">
      <c r="A1" s="72" t="inlineStr">
        <is>
          <t>Historical monthly estimates with stronger Alaminos-calibrated IQR variation</t>
        </is>
      </c>
    </row>
    <row r="2">
      <c r="A2" s="73" t="inlineStr">
        <is>
          <t>Gray dashed = original estimates; green = IQR-adjusted estimates. Annual totals are preserved. Historical data only; no predictions.</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4" customWidth="1" min="4" max="4"/>
    <col width="25" customWidth="1" min="5" max="5"/>
    <col width="25" customWidth="1" min="6" max="6"/>
    <col width="55" customWidth="1" min="7" max="7"/>
  </cols>
  <sheetData>
    <row r="1" ht="34" customHeight="1">
      <c r="A1" s="68" t="inlineStr">
        <is>
          <t>Municipality</t>
        </is>
      </c>
      <c r="B1" s="68" t="inlineStr">
        <is>
          <t>Year</t>
        </is>
      </c>
      <c r="C1" s="68" t="inlineStr">
        <is>
          <t>Month</t>
        </is>
      </c>
      <c r="D1" s="68" t="inlineStr">
        <is>
          <t>Month number</t>
        </is>
      </c>
      <c r="E1" s="68" t="inlineStr">
        <is>
          <t>Monthly production (kg)</t>
        </is>
      </c>
      <c r="F1" s="68" t="inlineStr">
        <is>
          <t>2026 Jan-Sep total (kg)</t>
        </is>
      </c>
      <c r="G1" s="68" t="inlineStr">
        <is>
          <t>Reference/method</t>
        </is>
      </c>
    </row>
    <row r="2">
      <c r="A2" t="inlineStr">
        <is>
          <t>Alaminos City</t>
        </is>
      </c>
      <c r="B2" t="n">
        <v>2026</v>
      </c>
      <c r="C2" t="inlineStr">
        <is>
          <t>Jan</t>
        </is>
      </c>
      <c r="D2" t="n">
        <v>1</v>
      </c>
      <c r="E2" s="69" t="n">
        <v>68973.73160810032</v>
      </c>
      <c r="F2" s="69" t="n">
        <v>1327670</v>
      </c>
      <c r="G2" t="inlineStr">
        <is>
          <t>San Fabian 2026 profile + stochastic IQR</t>
        </is>
      </c>
    </row>
    <row r="3">
      <c r="A3" t="inlineStr">
        <is>
          <t>Alaminos City</t>
        </is>
      </c>
      <c r="B3" t="n">
        <v>2026</v>
      </c>
      <c r="C3" t="inlineStr">
        <is>
          <t>Feb</t>
        </is>
      </c>
      <c r="D3" t="n">
        <v>2</v>
      </c>
      <c r="E3" s="69" t="n">
        <v>1962.600571473409</v>
      </c>
      <c r="F3" s="69" t="n">
        <v>1327670</v>
      </c>
      <c r="G3" t="inlineStr">
        <is>
          <t>San Fabian 2026 profile + stochastic IQR</t>
        </is>
      </c>
    </row>
    <row r="4">
      <c r="A4" t="inlineStr">
        <is>
          <t>Alaminos City</t>
        </is>
      </c>
      <c r="B4" t="n">
        <v>2026</v>
      </c>
      <c r="C4" t="inlineStr">
        <is>
          <t>Mar</t>
        </is>
      </c>
      <c r="D4" t="n">
        <v>3</v>
      </c>
      <c r="E4" s="69" t="n">
        <v>271434.0765894664</v>
      </c>
      <c r="F4" s="69" t="n">
        <v>1327670</v>
      </c>
      <c r="G4" t="inlineStr">
        <is>
          <t>San Fabian 2026 profile + stochastic IQR</t>
        </is>
      </c>
    </row>
    <row r="5">
      <c r="A5" t="inlineStr">
        <is>
          <t>Alaminos City</t>
        </is>
      </c>
      <c r="B5" t="n">
        <v>2026</v>
      </c>
      <c r="C5" t="inlineStr">
        <is>
          <t>Apr</t>
        </is>
      </c>
      <c r="D5" t="n">
        <v>4</v>
      </c>
      <c r="E5" s="69" t="n">
        <v>268513.6462215302</v>
      </c>
      <c r="F5" s="69" t="n">
        <v>1327670</v>
      </c>
      <c r="G5" t="inlineStr">
        <is>
          <t>San Fabian 2026 profile + stochastic IQR</t>
        </is>
      </c>
    </row>
    <row r="6">
      <c r="A6" t="inlineStr">
        <is>
          <t>Alaminos City</t>
        </is>
      </c>
      <c r="B6" t="n">
        <v>2026</v>
      </c>
      <c r="C6" t="inlineStr">
        <is>
          <t>May</t>
        </is>
      </c>
      <c r="D6" t="n">
        <v>5</v>
      </c>
      <c r="E6" s="69" t="n">
        <v>5047.968019982654</v>
      </c>
      <c r="F6" s="69" t="n">
        <v>1327670</v>
      </c>
      <c r="G6" t="inlineStr">
        <is>
          <t>San Fabian 2026 profile + stochastic IQR</t>
        </is>
      </c>
    </row>
    <row r="7">
      <c r="A7" t="inlineStr">
        <is>
          <t>Alaminos City</t>
        </is>
      </c>
      <c r="B7" t="n">
        <v>2026</v>
      </c>
      <c r="C7" t="inlineStr">
        <is>
          <t>Jun</t>
        </is>
      </c>
      <c r="D7" t="n">
        <v>6</v>
      </c>
      <c r="E7" s="69" t="n">
        <v>660612.9196333271</v>
      </c>
      <c r="F7" s="69" t="n">
        <v>1327670</v>
      </c>
      <c r="G7" t="inlineStr">
        <is>
          <t>San Fabian 2026 profile + stochastic IQR</t>
        </is>
      </c>
    </row>
    <row r="8">
      <c r="A8" t="inlineStr">
        <is>
          <t>Alaminos City</t>
        </is>
      </c>
      <c r="B8" t="n">
        <v>2026</v>
      </c>
      <c r="C8" t="inlineStr">
        <is>
          <t>Jul</t>
        </is>
      </c>
      <c r="D8" t="n">
        <v>7</v>
      </c>
      <c r="E8" s="69" t="n">
        <v>34095.19123023223</v>
      </c>
      <c r="F8" s="69" t="n">
        <v>1327670</v>
      </c>
      <c r="G8" t="inlineStr">
        <is>
          <t>San Fabian 2026 profile + stochastic IQR</t>
        </is>
      </c>
    </row>
    <row r="9">
      <c r="A9" t="inlineStr">
        <is>
          <t>Alaminos City</t>
        </is>
      </c>
      <c r="B9" t="n">
        <v>2026</v>
      </c>
      <c r="C9" t="inlineStr">
        <is>
          <t>Aug</t>
        </is>
      </c>
      <c r="D9" t="n">
        <v>8</v>
      </c>
      <c r="E9" s="69" t="n">
        <v>16717.94688893361</v>
      </c>
      <c r="F9" s="69" t="n">
        <v>1327670</v>
      </c>
      <c r="G9" t="inlineStr">
        <is>
          <t>San Fabian 2026 profile + stochastic IQR</t>
        </is>
      </c>
    </row>
    <row r="10">
      <c r="A10" t="inlineStr">
        <is>
          <t>Alaminos City</t>
        </is>
      </c>
      <c r="B10" t="n">
        <v>2026</v>
      </c>
      <c r="C10" t="inlineStr">
        <is>
          <t>Sep</t>
        </is>
      </c>
      <c r="D10" t="n">
        <v>9</v>
      </c>
      <c r="E10" s="69" t="n">
        <v>311.9192369540688</v>
      </c>
      <c r="F10" s="69" t="n">
        <v>1327670</v>
      </c>
      <c r="G10" t="inlineStr">
        <is>
          <t>San Fabian 2026 profile + stochastic IQR</t>
        </is>
      </c>
    </row>
    <row r="11">
      <c r="A11" t="inlineStr">
        <is>
          <t>Anda</t>
        </is>
      </c>
      <c r="B11" t="n">
        <v>2026</v>
      </c>
      <c r="C11" t="inlineStr">
        <is>
          <t>Jan</t>
        </is>
      </c>
      <c r="D11" t="n">
        <v>1</v>
      </c>
      <c r="E11" s="69" t="n">
        <v>10501.30068738584</v>
      </c>
      <c r="F11" s="69" t="n">
        <v>1510686</v>
      </c>
      <c r="G11" t="inlineStr">
        <is>
          <t>San Fabian 2026 profile + stochastic IQR</t>
        </is>
      </c>
    </row>
    <row r="12">
      <c r="A12" t="inlineStr">
        <is>
          <t>Anda</t>
        </is>
      </c>
      <c r="B12" t="n">
        <v>2026</v>
      </c>
      <c r="C12" t="inlineStr">
        <is>
          <t>Feb</t>
        </is>
      </c>
      <c r="D12" t="n">
        <v>2</v>
      </c>
      <c r="E12" s="69" t="n">
        <v>1566.721149973165</v>
      </c>
      <c r="F12" s="69" t="n">
        <v>1510686</v>
      </c>
      <c r="G12" t="inlineStr">
        <is>
          <t>San Fabian 2026 profile + stochastic IQR</t>
        </is>
      </c>
    </row>
    <row r="13">
      <c r="A13" t="inlineStr">
        <is>
          <t>Anda</t>
        </is>
      </c>
      <c r="B13" t="n">
        <v>2026</v>
      </c>
      <c r="C13" t="inlineStr">
        <is>
          <t>Mar</t>
        </is>
      </c>
      <c r="D13" t="n">
        <v>3</v>
      </c>
      <c r="E13" s="69" t="n">
        <v>524291.1101398536</v>
      </c>
      <c r="F13" s="69" t="n">
        <v>1510686</v>
      </c>
      <c r="G13" t="inlineStr">
        <is>
          <t>San Fabian 2026 profile + stochastic IQR</t>
        </is>
      </c>
    </row>
    <row r="14">
      <c r="A14" t="inlineStr">
        <is>
          <t>Anda</t>
        </is>
      </c>
      <c r="B14" t="n">
        <v>2026</v>
      </c>
      <c r="C14" t="inlineStr">
        <is>
          <t>Apr</t>
        </is>
      </c>
      <c r="D14" t="n">
        <v>4</v>
      </c>
      <c r="E14" s="69" t="n">
        <v>235604.9851590389</v>
      </c>
      <c r="F14" s="69" t="n">
        <v>1510686</v>
      </c>
      <c r="G14" t="inlineStr">
        <is>
          <t>San Fabian 2026 profile + stochastic IQR</t>
        </is>
      </c>
    </row>
    <row r="15">
      <c r="A15" t="inlineStr">
        <is>
          <t>Anda</t>
        </is>
      </c>
      <c r="B15" t="n">
        <v>2026</v>
      </c>
      <c r="C15" t="inlineStr">
        <is>
          <t>May</t>
        </is>
      </c>
      <c r="D15" t="n">
        <v>5</v>
      </c>
      <c r="E15" s="69" t="n">
        <v>706521.0972585807</v>
      </c>
      <c r="F15" s="69" t="n">
        <v>1510686</v>
      </c>
      <c r="G15" t="inlineStr">
        <is>
          <t>San Fabian 2026 profile + stochastic IQR</t>
        </is>
      </c>
    </row>
    <row r="16">
      <c r="A16" t="inlineStr">
        <is>
          <t>Anda</t>
        </is>
      </c>
      <c r="B16" t="n">
        <v>2026</v>
      </c>
      <c r="C16" t="inlineStr">
        <is>
          <t>Jun</t>
        </is>
      </c>
      <c r="D16" t="n">
        <v>6</v>
      </c>
      <c r="E16" s="69" t="n">
        <v>25993.58678590724</v>
      </c>
      <c r="F16" s="69" t="n">
        <v>1510686</v>
      </c>
      <c r="G16" t="inlineStr">
        <is>
          <t>San Fabian 2026 profile + stochastic IQR</t>
        </is>
      </c>
    </row>
    <row r="17">
      <c r="A17" t="inlineStr">
        <is>
          <t>Anda</t>
        </is>
      </c>
      <c r="B17" t="n">
        <v>2026</v>
      </c>
      <c r="C17" t="inlineStr">
        <is>
          <t>Jul</t>
        </is>
      </c>
      <c r="D17" t="n">
        <v>7</v>
      </c>
      <c r="E17" s="69" t="n">
        <v>1326.918775876438</v>
      </c>
      <c r="F17" s="69" t="n">
        <v>1510686</v>
      </c>
      <c r="G17" t="inlineStr">
        <is>
          <t>San Fabian 2026 profile + stochastic IQR</t>
        </is>
      </c>
    </row>
    <row r="18">
      <c r="A18" t="inlineStr">
        <is>
          <t>Anda</t>
        </is>
      </c>
      <c r="B18" t="n">
        <v>2026</v>
      </c>
      <c r="C18" t="inlineStr">
        <is>
          <t>Aug</t>
        </is>
      </c>
      <c r="D18" t="n">
        <v>8</v>
      </c>
      <c r="E18" s="69" t="n">
        <v>4625.092251827598</v>
      </c>
      <c r="F18" s="69" t="n">
        <v>1510686</v>
      </c>
      <c r="G18" t="inlineStr">
        <is>
          <t>San Fabian 2026 profile + stochastic IQR</t>
        </is>
      </c>
    </row>
    <row r="19">
      <c r="A19" t="inlineStr">
        <is>
          <t>Anda</t>
        </is>
      </c>
      <c r="B19" t="n">
        <v>2026</v>
      </c>
      <c r="C19" t="inlineStr">
        <is>
          <t>Sep</t>
        </is>
      </c>
      <c r="D19" t="n">
        <v>9</v>
      </c>
      <c r="E19" s="69" t="n">
        <v>255.1877915565856</v>
      </c>
      <c r="F19" s="69" t="n">
        <v>1510686</v>
      </c>
      <c r="G19" t="inlineStr">
        <is>
          <t>San Fabian 2026 profile + stochastic IQR</t>
        </is>
      </c>
    </row>
    <row r="20">
      <c r="A20" t="inlineStr">
        <is>
          <t>Bani</t>
        </is>
      </c>
      <c r="B20" t="n">
        <v>2026</v>
      </c>
      <c r="C20" t="inlineStr">
        <is>
          <t>Jan</t>
        </is>
      </c>
      <c r="D20" t="n">
        <v>1</v>
      </c>
      <c r="E20" s="69" t="n">
        <v>3280.585655633239</v>
      </c>
      <c r="F20" s="69" t="n">
        <v>73500</v>
      </c>
      <c r="G20" t="inlineStr">
        <is>
          <t>San Fabian 2026 profile + stochastic IQR</t>
        </is>
      </c>
    </row>
    <row r="21">
      <c r="A21" t="inlineStr">
        <is>
          <t>Bani</t>
        </is>
      </c>
      <c r="B21" t="n">
        <v>2026</v>
      </c>
      <c r="C21" t="inlineStr">
        <is>
          <t>Feb</t>
        </is>
      </c>
      <c r="D21" t="n">
        <v>2</v>
      </c>
      <c r="E21" s="69" t="n">
        <v>230.0979248569247</v>
      </c>
      <c r="F21" s="69" t="n">
        <v>73500</v>
      </c>
      <c r="G21" t="inlineStr">
        <is>
          <t>San Fabian 2026 profile + stochastic IQR</t>
        </is>
      </c>
    </row>
    <row r="22">
      <c r="A22" t="inlineStr">
        <is>
          <t>Bani</t>
        </is>
      </c>
      <c r="B22" t="n">
        <v>2026</v>
      </c>
      <c r="C22" t="inlineStr">
        <is>
          <t>Mar</t>
        </is>
      </c>
      <c r="D22" t="n">
        <v>3</v>
      </c>
      <c r="E22" s="69" t="n">
        <v>4749.641833758175</v>
      </c>
      <c r="F22" s="69" t="n">
        <v>73500</v>
      </c>
      <c r="G22" t="inlineStr">
        <is>
          <t>San Fabian 2026 profile + stochastic IQR</t>
        </is>
      </c>
    </row>
    <row r="23">
      <c r="A23" t="inlineStr">
        <is>
          <t>Bani</t>
        </is>
      </c>
      <c r="B23" t="n">
        <v>2026</v>
      </c>
      <c r="C23" t="inlineStr">
        <is>
          <t>Apr</t>
        </is>
      </c>
      <c r="D23" t="n">
        <v>4</v>
      </c>
      <c r="E23" s="69" t="n">
        <v>975.9377741921817</v>
      </c>
      <c r="F23" s="69" t="n">
        <v>73500</v>
      </c>
      <c r="G23" t="inlineStr">
        <is>
          <t>San Fabian 2026 profile + stochastic IQR</t>
        </is>
      </c>
    </row>
    <row r="24">
      <c r="A24" t="inlineStr">
        <is>
          <t>Bani</t>
        </is>
      </c>
      <c r="B24" t="n">
        <v>2026</v>
      </c>
      <c r="C24" t="inlineStr">
        <is>
          <t>May</t>
        </is>
      </c>
      <c r="D24" t="n">
        <v>5</v>
      </c>
      <c r="E24" s="69" t="n">
        <v>49885.32861120434</v>
      </c>
      <c r="F24" s="69" t="n">
        <v>73500</v>
      </c>
      <c r="G24" t="inlineStr">
        <is>
          <t>San Fabian 2026 profile + stochastic IQR</t>
        </is>
      </c>
    </row>
    <row r="25">
      <c r="A25" t="inlineStr">
        <is>
          <t>Bani</t>
        </is>
      </c>
      <c r="B25" t="n">
        <v>2026</v>
      </c>
      <c r="C25" t="inlineStr">
        <is>
          <t>Jun</t>
        </is>
      </c>
      <c r="D25" t="n">
        <v>6</v>
      </c>
      <c r="E25" s="69" t="n">
        <v>12991.72221026394</v>
      </c>
      <c r="F25" s="69" t="n">
        <v>73500</v>
      </c>
      <c r="G25" t="inlineStr">
        <is>
          <t>San Fabian 2026 profile + stochastic IQR</t>
        </is>
      </c>
    </row>
    <row r="26">
      <c r="A26" t="inlineStr">
        <is>
          <t>Bani</t>
        </is>
      </c>
      <c r="B26" t="n">
        <v>2026</v>
      </c>
      <c r="C26" t="inlineStr">
        <is>
          <t>Jul</t>
        </is>
      </c>
      <c r="D26" t="n">
        <v>7</v>
      </c>
      <c r="E26" s="69" t="n">
        <v>1280.412783283672</v>
      </c>
      <c r="F26" s="69" t="n">
        <v>73500</v>
      </c>
      <c r="G26" t="inlineStr">
        <is>
          <t>San Fabian 2026 profile + stochastic IQR</t>
        </is>
      </c>
    </row>
    <row r="27">
      <c r="A27" t="inlineStr">
        <is>
          <t>Bani</t>
        </is>
      </c>
      <c r="B27" t="n">
        <v>2026</v>
      </c>
      <c r="C27" t="inlineStr">
        <is>
          <t>Aug</t>
        </is>
      </c>
      <c r="D27" t="n">
        <v>8</v>
      </c>
      <c r="E27" s="69" t="n">
        <v>12.11964388020163</v>
      </c>
      <c r="F27" s="69" t="n">
        <v>73500</v>
      </c>
      <c r="G27" t="inlineStr">
        <is>
          <t>San Fabian 2026 profile + stochastic IQR</t>
        </is>
      </c>
    </row>
    <row r="28">
      <c r="A28" t="inlineStr">
        <is>
          <t>Bani</t>
        </is>
      </c>
      <c r="B28" t="n">
        <v>2026</v>
      </c>
      <c r="C28" t="inlineStr">
        <is>
          <t>Sep</t>
        </is>
      </c>
      <c r="D28" t="n">
        <v>9</v>
      </c>
      <c r="E28" s="69" t="n">
        <v>94.15356292732758</v>
      </c>
      <c r="F28" s="69" t="n">
        <v>73500</v>
      </c>
      <c r="G28" t="inlineStr">
        <is>
          <t>San Fabian 2026 profile + stochastic IQR</t>
        </is>
      </c>
    </row>
    <row r="29">
      <c r="A29" t="inlineStr">
        <is>
          <t>Bolinao</t>
        </is>
      </c>
      <c r="B29" t="n">
        <v>2026</v>
      </c>
      <c r="C29" t="inlineStr">
        <is>
          <t>Jan</t>
        </is>
      </c>
      <c r="D29" t="n">
        <v>1</v>
      </c>
      <c r="E29" s="69" t="n">
        <v>3281.133046841596</v>
      </c>
      <c r="F29" s="69" t="n">
        <v>10420307</v>
      </c>
      <c r="G29" t="inlineStr">
        <is>
          <t>San Fabian 2026 profile + stochastic IQR</t>
        </is>
      </c>
    </row>
    <row r="30">
      <c r="A30" t="inlineStr">
        <is>
          <t>Bolinao</t>
        </is>
      </c>
      <c r="B30" t="n">
        <v>2026</v>
      </c>
      <c r="C30" t="inlineStr">
        <is>
          <t>Feb</t>
        </is>
      </c>
      <c r="D30" t="n">
        <v>2</v>
      </c>
      <c r="E30" s="69" t="n">
        <v>1679.287453428397</v>
      </c>
      <c r="F30" s="69" t="n">
        <v>10420307</v>
      </c>
      <c r="G30" t="inlineStr">
        <is>
          <t>San Fabian 2026 profile + stochastic IQR</t>
        </is>
      </c>
    </row>
    <row r="31">
      <c r="A31" t="inlineStr">
        <is>
          <t>Bolinao</t>
        </is>
      </c>
      <c r="B31" t="n">
        <v>2026</v>
      </c>
      <c r="C31" t="inlineStr">
        <is>
          <t>Mar</t>
        </is>
      </c>
      <c r="D31" t="n">
        <v>3</v>
      </c>
      <c r="E31" s="69" t="n">
        <v>471058.0607222924</v>
      </c>
      <c r="F31" s="69" t="n">
        <v>10420307</v>
      </c>
      <c r="G31" t="inlineStr">
        <is>
          <t>San Fabian 2026 profile + stochastic IQR</t>
        </is>
      </c>
    </row>
    <row r="32">
      <c r="A32" t="inlineStr">
        <is>
          <t>Bolinao</t>
        </is>
      </c>
      <c r="B32" t="n">
        <v>2026</v>
      </c>
      <c r="C32" t="inlineStr">
        <is>
          <t>Apr</t>
        </is>
      </c>
      <c r="D32" t="n">
        <v>4</v>
      </c>
      <c r="E32" s="69" t="n">
        <v>1978370.372293758</v>
      </c>
      <c r="F32" s="69" t="n">
        <v>10420307</v>
      </c>
      <c r="G32" t="inlineStr">
        <is>
          <t>San Fabian 2026 profile + stochastic IQR</t>
        </is>
      </c>
    </row>
    <row r="33">
      <c r="A33" t="inlineStr">
        <is>
          <t>Bolinao</t>
        </is>
      </c>
      <c r="B33" t="n">
        <v>2026</v>
      </c>
      <c r="C33" t="inlineStr">
        <is>
          <t>May</t>
        </is>
      </c>
      <c r="D33" t="n">
        <v>5</v>
      </c>
      <c r="E33" s="69" t="n">
        <v>7884191.862063198</v>
      </c>
      <c r="F33" s="69" t="n">
        <v>10420307</v>
      </c>
      <c r="G33" t="inlineStr">
        <is>
          <t>San Fabian 2026 profile + stochastic IQR</t>
        </is>
      </c>
    </row>
    <row r="34">
      <c r="A34" t="inlineStr">
        <is>
          <t>Bolinao</t>
        </is>
      </c>
      <c r="B34" t="n">
        <v>2026</v>
      </c>
      <c r="C34" t="inlineStr">
        <is>
          <t>Jun</t>
        </is>
      </c>
      <c r="D34" t="n">
        <v>6</v>
      </c>
      <c r="E34" s="69" t="n">
        <v>52919.06452682774</v>
      </c>
      <c r="F34" s="69" t="n">
        <v>10420307</v>
      </c>
      <c r="G34" t="inlineStr">
        <is>
          <t>San Fabian 2026 profile + stochastic IQR</t>
        </is>
      </c>
    </row>
    <row r="35">
      <c r="A35" t="inlineStr">
        <is>
          <t>Bolinao</t>
        </is>
      </c>
      <c r="B35" t="n">
        <v>2026</v>
      </c>
      <c r="C35" t="inlineStr">
        <is>
          <t>Jul</t>
        </is>
      </c>
      <c r="D35" t="n">
        <v>7</v>
      </c>
      <c r="E35" s="69" t="n">
        <v>14661.38950421404</v>
      </c>
      <c r="F35" s="69" t="n">
        <v>10420307</v>
      </c>
      <c r="G35" t="inlineStr">
        <is>
          <t>San Fabian 2026 profile + stochastic IQR</t>
        </is>
      </c>
    </row>
    <row r="36">
      <c r="A36" t="inlineStr">
        <is>
          <t>Bolinao</t>
        </is>
      </c>
      <c r="B36" t="n">
        <v>2026</v>
      </c>
      <c r="C36" t="inlineStr">
        <is>
          <t>Aug</t>
        </is>
      </c>
      <c r="D36" t="n">
        <v>8</v>
      </c>
      <c r="E36" s="69" t="n">
        <v>11629.81887976</v>
      </c>
      <c r="F36" s="69" t="n">
        <v>10420307</v>
      </c>
      <c r="G36" t="inlineStr">
        <is>
          <t>San Fabian 2026 profile + stochastic IQR</t>
        </is>
      </c>
    </row>
    <row r="37">
      <c r="A37" t="inlineStr">
        <is>
          <t>Bolinao</t>
        </is>
      </c>
      <c r="B37" t="n">
        <v>2026</v>
      </c>
      <c r="C37" t="inlineStr">
        <is>
          <t>Sep</t>
        </is>
      </c>
      <c r="D37" t="n">
        <v>9</v>
      </c>
      <c r="E37" s="69" t="n">
        <v>2516.011509679258</v>
      </c>
      <c r="F37" s="69" t="n">
        <v>10420307</v>
      </c>
      <c r="G37" t="inlineStr">
        <is>
          <t>San Fabian 2026 profile + stochastic IQR</t>
        </is>
      </c>
    </row>
    <row r="38">
      <c r="A38" t="inlineStr">
        <is>
          <t>Dasol</t>
        </is>
      </c>
      <c r="B38" t="n">
        <v>2026</v>
      </c>
      <c r="C38" t="inlineStr">
        <is>
          <t>Jan</t>
        </is>
      </c>
      <c r="D38" t="n">
        <v>1</v>
      </c>
      <c r="E38" s="69" t="n">
        <v>1120.932851413628</v>
      </c>
      <c r="F38" s="69" t="n">
        <v>629511</v>
      </c>
      <c r="G38" t="inlineStr">
        <is>
          <t>San Fabian 2026 profile + stochastic IQR</t>
        </is>
      </c>
    </row>
    <row r="39">
      <c r="A39" t="inlineStr">
        <is>
          <t>Dasol</t>
        </is>
      </c>
      <c r="B39" t="n">
        <v>2026</v>
      </c>
      <c r="C39" t="inlineStr">
        <is>
          <t>Feb</t>
        </is>
      </c>
      <c r="D39" t="n">
        <v>2</v>
      </c>
      <c r="E39" s="69" t="n">
        <v>2638.81754134499</v>
      </c>
      <c r="F39" s="69" t="n">
        <v>629511</v>
      </c>
      <c r="G39" t="inlineStr">
        <is>
          <t>San Fabian 2026 profile + stochastic IQR</t>
        </is>
      </c>
    </row>
    <row r="40">
      <c r="A40" t="inlineStr">
        <is>
          <t>Dasol</t>
        </is>
      </c>
      <c r="B40" t="n">
        <v>2026</v>
      </c>
      <c r="C40" t="inlineStr">
        <is>
          <t>Mar</t>
        </is>
      </c>
      <c r="D40" t="n">
        <v>3</v>
      </c>
      <c r="E40" s="69" t="n">
        <v>4778.959349924324</v>
      </c>
      <c r="F40" s="69" t="n">
        <v>629511</v>
      </c>
      <c r="G40" t="inlineStr">
        <is>
          <t>San Fabian 2026 profile + stochastic IQR</t>
        </is>
      </c>
    </row>
    <row r="41">
      <c r="A41" t="inlineStr">
        <is>
          <t>Dasol</t>
        </is>
      </c>
      <c r="B41" t="n">
        <v>2026</v>
      </c>
      <c r="C41" t="inlineStr">
        <is>
          <t>Apr</t>
        </is>
      </c>
      <c r="D41" t="n">
        <v>4</v>
      </c>
      <c r="E41" s="69" t="n">
        <v>237800.4199782986</v>
      </c>
      <c r="F41" s="69" t="n">
        <v>629511</v>
      </c>
      <c r="G41" t="inlineStr">
        <is>
          <t>San Fabian 2026 profile + stochastic IQR</t>
        </is>
      </c>
    </row>
    <row r="42">
      <c r="A42" t="inlineStr">
        <is>
          <t>Dasol</t>
        </is>
      </c>
      <c r="B42" t="n">
        <v>2026</v>
      </c>
      <c r="C42" t="inlineStr">
        <is>
          <t>May</t>
        </is>
      </c>
      <c r="D42" t="n">
        <v>5</v>
      </c>
      <c r="E42" s="69" t="n">
        <v>49428.39606805803</v>
      </c>
      <c r="F42" s="69" t="n">
        <v>629511</v>
      </c>
      <c r="G42" t="inlineStr">
        <is>
          <t>San Fabian 2026 profile + stochastic IQR</t>
        </is>
      </c>
    </row>
    <row r="43">
      <c r="A43" t="inlineStr">
        <is>
          <t>Dasol</t>
        </is>
      </c>
      <c r="B43" t="n">
        <v>2026</v>
      </c>
      <c r="C43" t="inlineStr">
        <is>
          <t>Jun</t>
        </is>
      </c>
      <c r="D43" t="n">
        <v>6</v>
      </c>
      <c r="E43" s="69" t="n">
        <v>276815.7903700759</v>
      </c>
      <c r="F43" s="69" t="n">
        <v>629511</v>
      </c>
      <c r="G43" t="inlineStr">
        <is>
          <t>San Fabian 2026 profile + stochastic IQR</t>
        </is>
      </c>
    </row>
    <row r="44">
      <c r="A44" t="inlineStr">
        <is>
          <t>Dasol</t>
        </is>
      </c>
      <c r="B44" t="n">
        <v>2026</v>
      </c>
      <c r="C44" t="inlineStr">
        <is>
          <t>Jul</t>
        </is>
      </c>
      <c r="D44" t="n">
        <v>7</v>
      </c>
      <c r="E44" s="69" t="n">
        <v>24327.09368963864</v>
      </c>
      <c r="F44" s="69" t="n">
        <v>629511</v>
      </c>
      <c r="G44" t="inlineStr">
        <is>
          <t>San Fabian 2026 profile + stochastic IQR</t>
        </is>
      </c>
    </row>
    <row r="45">
      <c r="A45" t="inlineStr">
        <is>
          <t>Dasol</t>
        </is>
      </c>
      <c r="B45" t="n">
        <v>2026</v>
      </c>
      <c r="C45" t="inlineStr">
        <is>
          <t>Aug</t>
        </is>
      </c>
      <c r="D45" t="n">
        <v>8</v>
      </c>
      <c r="E45" s="69" t="n">
        <v>820.0526984821838</v>
      </c>
      <c r="F45" s="69" t="n">
        <v>629511</v>
      </c>
      <c r="G45" t="inlineStr">
        <is>
          <t>San Fabian 2026 profile + stochastic IQR</t>
        </is>
      </c>
    </row>
    <row r="46">
      <c r="A46" t="inlineStr">
        <is>
          <t>Dasol</t>
        </is>
      </c>
      <c r="B46" t="n">
        <v>2026</v>
      </c>
      <c r="C46" t="inlineStr">
        <is>
          <t>Sep</t>
        </is>
      </c>
      <c r="D46" t="n">
        <v>9</v>
      </c>
      <c r="E46" s="69" t="n">
        <v>31780.53745276364</v>
      </c>
      <c r="F46" s="69" t="n">
        <v>629511</v>
      </c>
      <c r="G46" t="inlineStr">
        <is>
          <t>San Fabian 2026 profile + stochastic IQR</t>
        </is>
      </c>
    </row>
    <row r="47">
      <c r="A47" t="inlineStr">
        <is>
          <t>Infanta</t>
        </is>
      </c>
      <c r="B47" t="n">
        <v>2026</v>
      </c>
      <c r="C47" t="inlineStr">
        <is>
          <t>Jan</t>
        </is>
      </c>
      <c r="D47" t="n">
        <v>1</v>
      </c>
      <c r="E47" s="69" t="n">
        <v>208755.734659894</v>
      </c>
      <c r="F47" s="69" t="n">
        <v>928140</v>
      </c>
      <c r="G47" t="inlineStr">
        <is>
          <t>San Fabian 2026 profile + stochastic IQR</t>
        </is>
      </c>
    </row>
    <row r="48">
      <c r="A48" t="inlineStr">
        <is>
          <t>Infanta</t>
        </is>
      </c>
      <c r="B48" t="n">
        <v>2026</v>
      </c>
      <c r="C48" t="inlineStr">
        <is>
          <t>Feb</t>
        </is>
      </c>
      <c r="D48" t="n">
        <v>2</v>
      </c>
      <c r="E48" s="69" t="n">
        <v>3485.317408060031</v>
      </c>
      <c r="F48" s="69" t="n">
        <v>928140</v>
      </c>
      <c r="G48" t="inlineStr">
        <is>
          <t>San Fabian 2026 profile + stochastic IQR</t>
        </is>
      </c>
    </row>
    <row r="49">
      <c r="A49" t="inlineStr">
        <is>
          <t>Infanta</t>
        </is>
      </c>
      <c r="B49" t="n">
        <v>2026</v>
      </c>
      <c r="C49" t="inlineStr">
        <is>
          <t>Mar</t>
        </is>
      </c>
      <c r="D49" t="n">
        <v>3</v>
      </c>
      <c r="E49" s="69" t="n">
        <v>16659.05338643822</v>
      </c>
      <c r="F49" s="69" t="n">
        <v>928140</v>
      </c>
      <c r="G49" t="inlineStr">
        <is>
          <t>San Fabian 2026 profile + stochastic IQR</t>
        </is>
      </c>
    </row>
    <row r="50">
      <c r="A50" t="inlineStr">
        <is>
          <t>Infanta</t>
        </is>
      </c>
      <c r="B50" t="n">
        <v>2026</v>
      </c>
      <c r="C50" t="inlineStr">
        <is>
          <t>Apr</t>
        </is>
      </c>
      <c r="D50" t="n">
        <v>4</v>
      </c>
      <c r="E50" s="69" t="n">
        <v>604308.2699130487</v>
      </c>
      <c r="F50" s="69" t="n">
        <v>928140</v>
      </c>
      <c r="G50" t="inlineStr">
        <is>
          <t>San Fabian 2026 profile + stochastic IQR</t>
        </is>
      </c>
    </row>
    <row r="51">
      <c r="A51" t="inlineStr">
        <is>
          <t>Infanta</t>
        </is>
      </c>
      <c r="B51" t="n">
        <v>2026</v>
      </c>
      <c r="C51" t="inlineStr">
        <is>
          <t>May</t>
        </is>
      </c>
      <c r="D51" t="n">
        <v>5</v>
      </c>
      <c r="E51" s="69" t="n">
        <v>16813.68263025011</v>
      </c>
      <c r="F51" s="69" t="n">
        <v>928140</v>
      </c>
      <c r="G51" t="inlineStr">
        <is>
          <t>San Fabian 2026 profile + stochastic IQR</t>
        </is>
      </c>
    </row>
    <row r="52">
      <c r="A52" t="inlineStr">
        <is>
          <t>Infanta</t>
        </is>
      </c>
      <c r="B52" t="n">
        <v>2026</v>
      </c>
      <c r="C52" t="inlineStr">
        <is>
          <t>Jun</t>
        </is>
      </c>
      <c r="D52" t="n">
        <v>6</v>
      </c>
      <c r="E52" s="69" t="n">
        <v>10697.64157306533</v>
      </c>
      <c r="F52" s="69" t="n">
        <v>928140</v>
      </c>
      <c r="G52" t="inlineStr">
        <is>
          <t>San Fabian 2026 profile + stochastic IQR</t>
        </is>
      </c>
    </row>
    <row r="53">
      <c r="A53" t="inlineStr">
        <is>
          <t>Infanta</t>
        </is>
      </c>
      <c r="B53" t="n">
        <v>2026</v>
      </c>
      <c r="C53" t="inlineStr">
        <is>
          <t>Jul</t>
        </is>
      </c>
      <c r="D53" t="n">
        <v>7</v>
      </c>
      <c r="E53" s="69" t="n">
        <v>636.531717452567</v>
      </c>
      <c r="F53" s="69" t="n">
        <v>928140</v>
      </c>
      <c r="G53" t="inlineStr">
        <is>
          <t>San Fabian 2026 profile + stochastic IQR</t>
        </is>
      </c>
    </row>
    <row r="54">
      <c r="A54" t="inlineStr">
        <is>
          <t>Infanta</t>
        </is>
      </c>
      <c r="B54" t="n">
        <v>2026</v>
      </c>
      <c r="C54" t="inlineStr">
        <is>
          <t>Aug</t>
        </is>
      </c>
      <c r="D54" t="n">
        <v>8</v>
      </c>
      <c r="E54" s="69" t="n">
        <v>41666.4806993091</v>
      </c>
      <c r="F54" s="69" t="n">
        <v>928140</v>
      </c>
      <c r="G54" t="inlineStr">
        <is>
          <t>San Fabian 2026 profile + stochastic IQR</t>
        </is>
      </c>
    </row>
    <row r="55">
      <c r="A55" t="inlineStr">
        <is>
          <t>Infanta</t>
        </is>
      </c>
      <c r="B55" t="n">
        <v>2026</v>
      </c>
      <c r="C55" t="inlineStr">
        <is>
          <t>Sep</t>
        </is>
      </c>
      <c r="D55" t="n">
        <v>9</v>
      </c>
      <c r="E55" s="69" t="n">
        <v>25117.28801248188</v>
      </c>
      <c r="F55" s="69" t="n">
        <v>928140</v>
      </c>
      <c r="G55" t="inlineStr">
        <is>
          <t>San Fabian 2026 profile + stochastic IQR</t>
        </is>
      </c>
    </row>
    <row r="56">
      <c r="A56" t="inlineStr">
        <is>
          <t>San Fabian</t>
        </is>
      </c>
      <c r="B56" t="n">
        <v>2026</v>
      </c>
      <c r="C56" t="inlineStr">
        <is>
          <t>Jan</t>
        </is>
      </c>
      <c r="D56" t="n">
        <v>1</v>
      </c>
      <c r="E56" s="69" t="n">
        <v>4696.920411004845</v>
      </c>
      <c r="F56" s="69" t="n">
        <v>91975</v>
      </c>
      <c r="G56" t="inlineStr">
        <is>
          <t>San Fabian reference; Jan-Sep reallocated to annual total</t>
        </is>
      </c>
    </row>
    <row r="57">
      <c r="A57" t="inlineStr">
        <is>
          <t>San Fabian</t>
        </is>
      </c>
      <c r="B57" t="n">
        <v>2026</v>
      </c>
      <c r="C57" t="inlineStr">
        <is>
          <t>Feb</t>
        </is>
      </c>
      <c r="D57" t="n">
        <v>2</v>
      </c>
      <c r="E57" s="69" t="n">
        <v>1174.155011605199</v>
      </c>
      <c r="F57" s="69" t="n">
        <v>91975</v>
      </c>
      <c r="G57" t="inlineStr">
        <is>
          <t>San Fabian reference; Jan-Sep reallocated to annual total</t>
        </is>
      </c>
    </row>
    <row r="58">
      <c r="A58" t="inlineStr">
        <is>
          <t>San Fabian</t>
        </is>
      </c>
      <c r="B58" t="n">
        <v>2026</v>
      </c>
      <c r="C58" t="inlineStr">
        <is>
          <t>Mar</t>
        </is>
      </c>
      <c r="D58" t="n">
        <v>3</v>
      </c>
      <c r="E58" s="69" t="n">
        <v>10675.67839935407</v>
      </c>
      <c r="F58" s="69" t="n">
        <v>91975</v>
      </c>
      <c r="G58" t="inlineStr">
        <is>
          <t>San Fabian reference; Jan-Sep reallocated to annual total</t>
        </is>
      </c>
    </row>
    <row r="59">
      <c r="A59" t="inlineStr">
        <is>
          <t>San Fabian</t>
        </is>
      </c>
      <c r="B59" t="n">
        <v>2026</v>
      </c>
      <c r="C59" t="inlineStr">
        <is>
          <t>Apr</t>
        </is>
      </c>
      <c r="D59" t="n">
        <v>4</v>
      </c>
      <c r="E59" s="69" t="n">
        <v>30047.62153595987</v>
      </c>
      <c r="F59" s="69" t="n">
        <v>91975</v>
      </c>
      <c r="G59" t="inlineStr">
        <is>
          <t>San Fabian reference; Jan-Sep reallocated to annual total</t>
        </is>
      </c>
    </row>
    <row r="60">
      <c r="A60" t="inlineStr">
        <is>
          <t>San Fabian</t>
        </is>
      </c>
      <c r="B60" t="n">
        <v>2026</v>
      </c>
      <c r="C60" t="inlineStr">
        <is>
          <t>May</t>
        </is>
      </c>
      <c r="D60" t="n">
        <v>5</v>
      </c>
      <c r="E60" s="69" t="n">
        <v>28240.9435324942</v>
      </c>
      <c r="F60" s="69" t="n">
        <v>91975</v>
      </c>
      <c r="G60" t="inlineStr">
        <is>
          <t>San Fabian reference; Jan-Sep reallocated to annual total</t>
        </is>
      </c>
    </row>
    <row r="61">
      <c r="A61" t="inlineStr">
        <is>
          <t>San Fabian</t>
        </is>
      </c>
      <c r="B61" t="n">
        <v>2026</v>
      </c>
      <c r="C61" t="inlineStr">
        <is>
          <t>Jun</t>
        </is>
      </c>
      <c r="D61" t="n">
        <v>6</v>
      </c>
      <c r="E61" s="69" t="n">
        <v>12163.89309398543</v>
      </c>
      <c r="F61" s="69" t="n">
        <v>91975</v>
      </c>
      <c r="G61" t="inlineStr">
        <is>
          <t>San Fabian reference; Jan-Sep reallocated to annual total</t>
        </is>
      </c>
    </row>
    <row r="62">
      <c r="A62" t="inlineStr">
        <is>
          <t>San Fabian</t>
        </is>
      </c>
      <c r="B62" t="n">
        <v>2026</v>
      </c>
      <c r="C62" t="inlineStr">
        <is>
          <t>Jul</t>
        </is>
      </c>
      <c r="D62" t="n">
        <v>7</v>
      </c>
      <c r="E62" s="69" t="n">
        <v>2523.019085301133</v>
      </c>
      <c r="F62" s="69" t="n">
        <v>91975</v>
      </c>
      <c r="G62" t="inlineStr">
        <is>
          <t>San Fabian reference; Jan-Sep reallocated to annual total</t>
        </is>
      </c>
    </row>
    <row r="63">
      <c r="A63" t="inlineStr">
        <is>
          <t>San Fabian</t>
        </is>
      </c>
      <c r="B63" t="n">
        <v>2026</v>
      </c>
      <c r="C63" t="inlineStr">
        <is>
          <t>Aug</t>
        </is>
      </c>
      <c r="D63" t="n">
        <v>8</v>
      </c>
      <c r="E63" s="69" t="n">
        <v>1052.467916940512</v>
      </c>
      <c r="F63" s="69" t="n">
        <v>91975</v>
      </c>
      <c r="G63" t="inlineStr">
        <is>
          <t>San Fabian reference; Jan-Sep reallocated to annual total</t>
        </is>
      </c>
    </row>
    <row r="64">
      <c r="A64" t="inlineStr">
        <is>
          <t>San Fabian</t>
        </is>
      </c>
      <c r="B64" t="n">
        <v>2026</v>
      </c>
      <c r="C64" t="inlineStr">
        <is>
          <t>Sep</t>
        </is>
      </c>
      <c r="D64" t="n">
        <v>9</v>
      </c>
      <c r="E64" s="69" t="n">
        <v>1400.301013354736</v>
      </c>
      <c r="F64" s="69" t="n">
        <v>91975</v>
      </c>
      <c r="G64" t="inlineStr">
        <is>
          <t>San Fabian reference; Jan-Sep reallocated to annual total</t>
        </is>
      </c>
    </row>
  </sheetData>
  <autoFilter ref="A1:G64"/>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25" customWidth="1" min="3" max="3"/>
    <col width="25" customWidth="1" min="4" max="4"/>
  </cols>
  <sheetData>
    <row r="1" ht="34" customHeight="1">
      <c r="A1" s="68" t="inlineStr">
        <is>
          <t>Municipality</t>
        </is>
      </c>
      <c r="B1" s="68" t="inlineStr">
        <is>
          <t>2026 Jan-Sep production total (kg)</t>
        </is>
      </c>
      <c r="C1" s="68" t="inlineStr">
        <is>
          <t>Supplied Jan-Sep total (kg)</t>
        </is>
      </c>
      <c r="D1" s="68" t="inlineStr">
        <is>
          <t>Difference vs supplied total (kg)</t>
        </is>
      </c>
    </row>
    <row r="2">
      <c r="A2" t="inlineStr">
        <is>
          <t>Alaminos City</t>
        </is>
      </c>
      <c r="B2" s="69" t="n">
        <v>1327670</v>
      </c>
      <c r="C2" s="69" t="n">
        <v>1327670</v>
      </c>
      <c r="D2" s="69" t="n">
        <v>0</v>
      </c>
    </row>
    <row r="3">
      <c r="A3" t="inlineStr">
        <is>
          <t>Anda</t>
        </is>
      </c>
      <c r="B3" s="69" t="n">
        <v>1510686</v>
      </c>
      <c r="C3" s="69" t="n">
        <v>1510686</v>
      </c>
      <c r="D3" s="69" t="n">
        <v>0</v>
      </c>
    </row>
    <row r="4">
      <c r="A4" t="inlineStr">
        <is>
          <t>Bani</t>
        </is>
      </c>
      <c r="B4" s="69" t="n">
        <v>73500</v>
      </c>
      <c r="C4" s="69" t="n">
        <v>73500</v>
      </c>
      <c r="D4" s="69" t="n">
        <v>0</v>
      </c>
    </row>
    <row r="5">
      <c r="A5" t="inlineStr">
        <is>
          <t>Bolinao</t>
        </is>
      </c>
      <c r="B5" s="69" t="n">
        <v>10420307</v>
      </c>
      <c r="C5" s="69" t="n">
        <v>10420307</v>
      </c>
      <c r="D5" s="69" t="n">
        <v>0</v>
      </c>
    </row>
    <row r="6">
      <c r="A6" t="inlineStr">
        <is>
          <t>Dasol</t>
        </is>
      </c>
      <c r="B6" s="69" t="n">
        <v>629510.9999999999</v>
      </c>
      <c r="C6" s="69" t="n">
        <v>629511</v>
      </c>
      <c r="D6" s="69" t="n">
        <v>-1.164153218269348e-10</v>
      </c>
    </row>
    <row r="7">
      <c r="A7" t="inlineStr">
        <is>
          <t>Infanta</t>
        </is>
      </c>
      <c r="B7" s="69" t="n">
        <v>928140</v>
      </c>
      <c r="C7" s="69" t="n">
        <v>928140</v>
      </c>
      <c r="D7" s="69" t="n">
        <v>0</v>
      </c>
    </row>
    <row r="8">
      <c r="A8" t="inlineStr">
        <is>
          <t>San Fabian</t>
        </is>
      </c>
      <c r="B8" s="69" t="n">
        <v>91975</v>
      </c>
      <c r="C8" s="69" t="n">
        <v>91975</v>
      </c>
      <c r="D8" s="69" t="n">
        <v>0</v>
      </c>
    </row>
  </sheetData>
  <autoFilter ref="A1:D8"/>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7" customWidth="1" min="1" max="1"/>
    <col width="55" customWidth="1" min="2" max="2"/>
  </cols>
  <sheetData>
    <row r="1" ht="34" customHeight="1">
      <c r="A1" s="68" t="inlineStr">
        <is>
          <t>Method / assumption</t>
        </is>
      </c>
      <c r="B1" s="68" t="inlineStr">
        <is>
          <t>Value</t>
        </is>
      </c>
    </row>
    <row r="2">
      <c r="A2" t="inlineStr">
        <is>
          <t>Purpose</t>
        </is>
      </c>
      <c r="B2" t="inlineStr">
        <is>
          <t>Synthesize monthly estimates for January-September 2026 using San Fabian as the reference; each municipality reconciles to its supplied Jan-Sep total.</t>
        </is>
      </c>
    </row>
    <row r="3">
      <c r="A3" t="inlineStr">
        <is>
          <t>Jan-Sep total source</t>
        </is>
      </c>
      <c r="B3" t="inlineStr">
        <is>
          <t>The 2026 column in the provided image represents production through September (Jan-Sep cumulative), not a full-year target; province total is 14,981,789 kg.</t>
        </is>
      </c>
    </row>
    <row r="4">
      <c r="A4" t="inlineStr">
        <is>
          <t>San Fabian profile source</t>
        </is>
      </c>
      <c r="B4" t="inlineStr">
        <is>
          <t>San Fabian 2026 estimated Jan-Dec profile in the original workbook; this profile is synthetic, not an observed month-by-month record.</t>
        </is>
      </c>
    </row>
    <row r="5">
      <c r="A5" t="inlineStr">
        <is>
          <t>Reallocation</t>
        </is>
      </c>
      <c r="B5" t="inlineStr">
        <is>
          <t>Normalize San Fabian January-September profile values to its Jan-Sep subtotal, then distribute its supplied Jan-Sep total of 91,975 kg across these nine months. Oct-Dec are excluded.</t>
        </is>
      </c>
    </row>
    <row r="6">
      <c r="A6" t="inlineStr">
        <is>
          <t>IQR statistic</t>
        </is>
      </c>
      <c r="B6" t="inlineStr">
        <is>
          <t>z_m = ln(San Fabian Jan-Sep share_m / median(San Fabian Jan-Sep shares)); sample stochastic noise within Q1-Q3 of the nine z_m values.</t>
        </is>
      </c>
    </row>
    <row r="7">
      <c r="A7" t="inlineStr">
        <is>
          <t>Q1 / median / Q3</t>
        </is>
      </c>
      <c r="B7" t="inlineStr">
        <is>
          <t>-1.210220 / 0.000000 / 0.951565</t>
        </is>
      </c>
    </row>
    <row r="8">
      <c r="A8" t="inlineStr">
        <is>
          <t>Noise equation</t>
        </is>
      </c>
      <c r="B8" t="inlineStr">
        <is>
          <t>w_m = reference_share_m * exp(k * (U_m - median(z))); U_m independently Uniform(Q1,Q3), then normalize the nine Jan-Sep shares to sum to 1 and multiply by the municipality supplied Jan-Sep total.</t>
        </is>
      </c>
    </row>
    <row r="9">
      <c r="A9" t="inlineStr">
        <is>
          <t>IQR strength k</t>
        </is>
      </c>
      <c r="B9" t="n">
        <v>3</v>
      </c>
    </row>
    <row r="10">
      <c r="A10" t="inlineStr">
        <is>
          <t>Random seed</t>
        </is>
      </c>
      <c r="B10" t="n">
        <v>42</v>
      </c>
    </row>
    <row r="11">
      <c r="A11" t="inlineStr">
        <is>
          <t>Jan-Sep total check</t>
        </is>
      </c>
      <c r="B11" t="inlineStr">
        <is>
          <t>The nine synthetic monthly values sum to the supplied Jan-Sep total for each municipality. These are generated monthly allocations; no Oct-Dec values or full-year annualization are included.</t>
        </is>
      </c>
    </row>
    <row r="12">
      <c r="A12" t="inlineStr">
        <is>
          <t>Plot scope</t>
        </is>
      </c>
      <c r="B12" t="inlineStr">
        <is>
          <t>Chart displays only the supplied Jan-Sep 2026 production totals from the image. 2024, 2025, and cumulative totals are excluded.</t>
        </is>
      </c>
    </row>
    <row r="13">
      <c r="A13" t="inlineStr">
        <is>
          <t>Limitation</t>
        </is>
      </c>
      <c r="B13" t="inlineStr">
        <is>
          <t>The reference month profile and municipality-level monthly splits are synthetic; the aggregate Jan-Sep amounts are from the provided image. The splits are not independently observed monthly data.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74" t="inlineStr">
        <is>
          <t>Jan-Sep 2026 Production Through September (kg)</t>
        </is>
      </c>
    </row>
    <row r="2">
      <c r="A2" s="73" t="inlineStr">
        <is>
          <t>Only the supplied 2026 Jan-Sep cumulative production amounts are plotted; these are not full-year annual totals.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2026-10-24T23:45:00Z</dcterms:created>
  <dcterms:modified xsi:type="dcterms:W3CDTF">2026-10-25T13:37:51Z</dcterms:modified>
  <cp:lastModifiedBy>cuadr</cp:lastModifiedBy>
  <cp:revision>0</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8584FEFEC35E49FE8AA9BFEAEA5D651D_12</vt:lpwstr>
  </property>
  <property name="KSOProductBuildVer" fmtid="{D5CDD505-2E9C-101B-9397-08002B2CF9AE}" pid="3">
    <vt:lpwstr>1033-12.1.0.29162</vt:lpwstr>
  </property>
  <property name="CalculationRule" fmtid="{D5CDD505-2E9C-101B-9397-08002B2CF9AE}" pid="4">
    <vt:i4>0</vt:i4>
  </property>
</Properties>
</file>