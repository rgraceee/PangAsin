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<sst xmlns="http://schemas.openxmlformats.org/spreadsheetml/2006/main" count="56" uniqueCount="30">
  <si>
    <t>Estimated monthly salt production per municipality (kg)</t>
  </si>
  <si>
    <t>Monthly = annual production used × monthly share. Method and basis follow Assumptions.</t>
  </si>
  <si>
    <t>2024</t>
  </si>
  <si>
    <t>Municipality</t>
  </si>
  <si>
    <t>Annual source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</si>
  <si>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</si>
  <si>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</si>
  <si>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</si>
  <si>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</si>
  <si>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</si>
  <si>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</si>
  <si>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</si>
  <si>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</si>
  <si>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</si>
  <si>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</si>
  <si>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</si>
  <si>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</si>
  <si>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(kg)</t>
  </si>
  <si>
    <t>Total (MT)</t>
  </si>
  <si>
    <t>Check vs annual</t>
  </si>
  <si>
    <t>Alaminos City</t>
  </si>
  <si>
    <t>Anda</t>
  </si>
  <si>
    <t>Bani</t>
  </si>
  <si>
    <t>Bolinao</t>
  </si>
  <si>
    <t>Dasol</t>
  </si>
  <si>
    <t>Infanta</t>
  </si>
  <si>
    <t>San Fabian</t>
  </si>
  <si>
    <t>Estimated total – 7 municipalities</t>
  </si>
  <si>
    <t>FOI provincial monthly (observed, reference)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</si>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</sst>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#,##0.0"/>
  </numFmts>
  <fonts count="26">
    <font>
      <sz val="11"/>
      <color theme="1"/>
      <name val="Calibri"/>
      <charset val="134"/>
      <scheme val="minor"/>
    </font>
    <font>
      <b/>
      <sz val="14"/>
      <name val="Arial"/>
      <charset val="1"/>
    </font>
    <font>
      <sz val="11"/>
      <color theme="1"/>
      <name val="Calibri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sz val="10"/>
      <color rgb="FF008000"/>
      <name val="Arial"/>
      <charset val="1"/>
    </font>
    <font>
      <sz val="10"/>
      <name val="Arial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/>
    <xf numFmtId="0" fontId="5" fillId="0" borderId="1" xfId="0" applyFont="1" applyFill="1" applyBorder="1" applyAlignment="1"/>
    <xf numFmtId="3" fontId="6" fillId="0" borderId="1" xfId="0" applyNumberFormat="1" applyFont="1" applyFill="1" applyBorder="1" applyAlignment="1"/>
    <xf numFmtId="3" fontId="4" fillId="0" borderId="1" xfId="0" applyNumberFormat="1" applyFont="1" applyFill="1" applyBorder="1" applyAlignment="1"/>
    <xf numFmtId="176" fontId="6" fillId="0" borderId="1" xfId="0" applyNumberFormat="1" applyFont="1" applyFill="1" applyBorder="1" applyAlignment="1"/>
    <xf numFmtId="2" fontId="6" fillId="0" borderId="1" xfId="0" applyNumberFormat="1" applyFont="1" applyFill="1" applyBorder="1" applyAlignment="1"/>
    <xf numFmtId="176" fontId="4" fillId="0" borderId="1" xfId="0" applyNumberFormat="1" applyFont="1" applyFill="1" applyBorder="1" applyAlignment="1"/>
    <xf numFmtId="0" fontId="3" fillId="0" borderId="1" xfId="0" applyFont="1" applyFill="1" applyBorder="1" applyAlignment="1"/>
    <xf numFmtId="3" fontId="5" fillId="0" borderId="1" xfId="0" applyNumberFormat="1" applyFont="1" applyFill="1" applyBorder="1" applyAlignment="1"/>
    <xf numFmtId="3" fontId="3" fillId="0" borderId="1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cuadr\Downloads\Pangasin_Data&amp;Assumptions\PangAsin_Salt_Estimates_Final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ADME"/>
      <sheetName val="Assumptions"/>
      <sheetName val="Alaminos_Beds"/>
      <sheetName val="Annual_Production"/>
      <sheetName val="Salt_Beds"/>
      <sheetName val="Seasonal_Profile"/>
      <sheetName val="Shares"/>
      <sheetName val="Monthly_Override"/>
      <sheetName val="Monthly_Estimates"/>
      <sheetName val="Monthly_Long"/>
      <sheetName val="Testing"/>
    </sheetNames>
    <sheetDataSet>
      <sheetData sheetId="0"/>
      <sheetData sheetId="1"/>
      <sheetData sheetId="2"/>
      <sheetData sheetId="3">
        <row r="4">
          <cell r="I4" t="str">
            <v>FOI (secondary)</v>
          </cell>
          <cell r="J4" t="str">
            <v>Primary</v>
          </cell>
        </row>
        <row r="4">
          <cell r="L4">
            <v>446350</v>
          </cell>
          <cell r="M4">
            <v>1099260</v>
          </cell>
        </row>
        <row r="5">
          <cell r="I5" t="str">
            <v>FOI (secondary)</v>
          </cell>
          <cell r="J5" t="str">
            <v>FOI (secondary)</v>
          </cell>
        </row>
        <row r="5">
          <cell r="L5">
            <v>115600</v>
          </cell>
          <cell r="M5">
            <v>1332211</v>
          </cell>
        </row>
        <row r="6">
          <cell r="I6" t="str">
            <v>FOI (secondary)</v>
          </cell>
          <cell r="J6" t="str">
            <v>FOI (secondary)</v>
          </cell>
        </row>
        <row r="6">
          <cell r="L6">
            <v>649400</v>
          </cell>
          <cell r="M6">
            <v>607800</v>
          </cell>
        </row>
        <row r="7">
          <cell r="I7" t="str">
            <v>FOI (secondary)</v>
          </cell>
          <cell r="J7" t="str">
            <v>FOI (secondary)</v>
          </cell>
        </row>
        <row r="7">
          <cell r="L7">
            <v>21825</v>
          </cell>
          <cell r="M7">
            <v>4461917</v>
          </cell>
        </row>
        <row r="8">
          <cell r="I8" t="str">
            <v>FOI (secondary)</v>
          </cell>
          <cell r="J8" t="str">
            <v>FOI (secondary)</v>
          </cell>
        </row>
        <row r="8">
          <cell r="L8">
            <v>579267</v>
          </cell>
          <cell r="M8">
            <v>776414</v>
          </cell>
        </row>
        <row r="9">
          <cell r="I9" t="str">
            <v>FOI (secondary)</v>
          </cell>
          <cell r="J9" t="str">
            <v>FOI (secondary)</v>
          </cell>
        </row>
        <row r="9">
          <cell r="L9">
            <v>357916</v>
          </cell>
          <cell r="M9">
            <v>1436623</v>
          </cell>
        </row>
        <row r="10">
          <cell r="I10" t="str">
            <v>Primary</v>
          </cell>
          <cell r="J10" t="str">
            <v>Primary</v>
          </cell>
        </row>
        <row r="10">
          <cell r="L10">
            <v>103500</v>
          </cell>
          <cell r="M10">
            <v>106000</v>
          </cell>
        </row>
      </sheetData>
      <sheetData sheetId="4"/>
      <sheetData sheetId="5">
        <row r="4">
          <cell r="B4">
            <v>222196</v>
          </cell>
          <cell r="C4">
            <v>42396</v>
          </cell>
          <cell r="D4">
            <v>392226</v>
          </cell>
          <cell r="E4">
            <v>579850</v>
          </cell>
          <cell r="F4">
            <v>700550</v>
          </cell>
          <cell r="G4">
            <v>255650</v>
          </cell>
          <cell r="H4">
            <v>28600</v>
          </cell>
          <cell r="I4">
            <v>28950</v>
          </cell>
          <cell r="J4">
            <v>29250</v>
          </cell>
          <cell r="K4">
            <v>25300</v>
          </cell>
          <cell r="L4">
            <v>25050</v>
          </cell>
          <cell r="M4">
            <v>24700</v>
          </cell>
        </row>
        <row r="5">
          <cell r="B5">
            <v>24550</v>
          </cell>
          <cell r="C5">
            <v>62132</v>
          </cell>
          <cell r="D5">
            <v>536165</v>
          </cell>
          <cell r="E5">
            <v>3740899</v>
          </cell>
          <cell r="F5">
            <v>2853521</v>
          </cell>
          <cell r="G5">
            <v>1425330</v>
          </cell>
          <cell r="H5">
            <v>399657</v>
          </cell>
          <cell r="I5">
            <v>94240</v>
          </cell>
          <cell r="J5">
            <v>164851</v>
          </cell>
          <cell r="K5">
            <v>190790</v>
          </cell>
          <cell r="L5">
            <v>230615</v>
          </cell>
          <cell r="M5">
            <v>304453</v>
          </cell>
        </row>
      </sheetData>
      <sheetData sheetId="6">
        <row r="4">
          <cell r="D4">
            <v>0.0943620425036034</v>
          </cell>
          <cell r="E4">
            <v>0.0180047037479647</v>
          </cell>
          <cell r="F4">
            <v>0.166570264464789</v>
          </cell>
          <cell r="G4">
            <v>0.246250294090418</v>
          </cell>
          <cell r="H4">
            <v>0.297509086013697</v>
          </cell>
          <cell r="I4">
            <v>0.108569263920351</v>
          </cell>
          <cell r="J4">
            <v>0.012145828077927</v>
          </cell>
          <cell r="K4">
            <v>0.0122944658341254</v>
          </cell>
          <cell r="L4">
            <v>0.0124218696251526</v>
          </cell>
          <cell r="M4">
            <v>0.0107443863766277</v>
          </cell>
          <cell r="N4">
            <v>0.0106382165507717</v>
          </cell>
          <cell r="O4">
            <v>0.0104895787945733</v>
          </cell>
        </row>
        <row r="5">
          <cell r="D5">
            <v>0.0943620425036034</v>
          </cell>
          <cell r="E5">
            <v>0.0180047037479647</v>
          </cell>
          <cell r="F5">
            <v>0.166570264464789</v>
          </cell>
          <cell r="G5">
            <v>0.246250294090418</v>
          </cell>
          <cell r="H5">
            <v>0.297509086013697</v>
          </cell>
          <cell r="I5">
            <v>0.108569263920351</v>
          </cell>
          <cell r="J5">
            <v>0.012145828077927</v>
          </cell>
          <cell r="K5">
            <v>0.0122944658341254</v>
          </cell>
          <cell r="L5">
            <v>0.0124218696251526</v>
          </cell>
          <cell r="M5">
            <v>0.0107443863766277</v>
          </cell>
          <cell r="N5">
            <v>0.0106382165507717</v>
          </cell>
          <cell r="O5">
            <v>0.0104895787945733</v>
          </cell>
        </row>
        <row r="6">
          <cell r="D6">
            <v>0.0943620425036034</v>
          </cell>
          <cell r="E6">
            <v>0.0180047037479647</v>
          </cell>
          <cell r="F6">
            <v>0.166570264464789</v>
          </cell>
          <cell r="G6">
            <v>0.246250294090418</v>
          </cell>
          <cell r="H6">
            <v>0.297509086013697</v>
          </cell>
          <cell r="I6">
            <v>0.108569263920351</v>
          </cell>
          <cell r="J6">
            <v>0.012145828077927</v>
          </cell>
          <cell r="K6">
            <v>0.0122944658341254</v>
          </cell>
          <cell r="L6">
            <v>0.0124218696251526</v>
          </cell>
          <cell r="M6">
            <v>0.0107443863766277</v>
          </cell>
          <cell r="N6">
            <v>0.0106382165507717</v>
          </cell>
          <cell r="O6">
            <v>0.0104895787945733</v>
          </cell>
        </row>
        <row r="7">
          <cell r="D7">
            <v>0.0943620425036034</v>
          </cell>
          <cell r="E7">
            <v>0.0180047037479647</v>
          </cell>
          <cell r="F7">
            <v>0.166570264464789</v>
          </cell>
          <cell r="G7">
            <v>0.246250294090418</v>
          </cell>
          <cell r="H7">
            <v>0.297509086013697</v>
          </cell>
          <cell r="I7">
            <v>0.108569263920351</v>
          </cell>
          <cell r="J7">
            <v>0.012145828077927</v>
          </cell>
          <cell r="K7">
            <v>0.0122944658341254</v>
          </cell>
          <cell r="L7">
            <v>0.0124218696251526</v>
          </cell>
          <cell r="M7">
            <v>0.0107443863766277</v>
          </cell>
          <cell r="N7">
            <v>0.0106382165507717</v>
          </cell>
          <cell r="O7">
            <v>0.0104895787945733</v>
          </cell>
        </row>
        <row r="8">
          <cell r="D8">
            <v>0.0943620425036034</v>
          </cell>
          <cell r="E8">
            <v>0.0180047037479647</v>
          </cell>
          <cell r="F8">
            <v>0.166570264464789</v>
          </cell>
          <cell r="G8">
            <v>0.246250294090418</v>
          </cell>
          <cell r="H8">
            <v>0.297509086013697</v>
          </cell>
          <cell r="I8">
            <v>0.108569263920351</v>
          </cell>
          <cell r="J8">
            <v>0.012145828077927</v>
          </cell>
          <cell r="K8">
            <v>0.0122944658341254</v>
          </cell>
          <cell r="L8">
            <v>0.0124218696251526</v>
          </cell>
          <cell r="M8">
            <v>0.0107443863766277</v>
          </cell>
          <cell r="N8">
            <v>0.0106382165507717</v>
          </cell>
          <cell r="O8">
            <v>0.0104895787945733</v>
          </cell>
        </row>
        <row r="9">
          <cell r="D9">
            <v>0.0943620425036034</v>
          </cell>
          <cell r="E9">
            <v>0.0180047037479647</v>
          </cell>
          <cell r="F9">
            <v>0.166570264464789</v>
          </cell>
          <cell r="G9">
            <v>0.246250294090418</v>
          </cell>
          <cell r="H9">
            <v>0.297509086013697</v>
          </cell>
          <cell r="I9">
            <v>0.108569263920351</v>
          </cell>
          <cell r="J9">
            <v>0.012145828077927</v>
          </cell>
          <cell r="K9">
            <v>0.0122944658341254</v>
          </cell>
          <cell r="L9">
            <v>0.0124218696251526</v>
          </cell>
          <cell r="M9">
            <v>0.0107443863766277</v>
          </cell>
          <cell r="N9">
            <v>0.0106382165507717</v>
          </cell>
          <cell r="O9">
            <v>0.0104895787945733</v>
          </cell>
        </row>
        <row r="10">
          <cell r="D10">
            <v>0.0943620425036034</v>
          </cell>
          <cell r="E10">
            <v>0.0180047037479647</v>
          </cell>
          <cell r="F10">
            <v>0.166570264464789</v>
          </cell>
          <cell r="G10">
            <v>0.246250294090418</v>
          </cell>
          <cell r="H10">
            <v>0.297509086013697</v>
          </cell>
          <cell r="I10">
            <v>0.108569263920351</v>
          </cell>
          <cell r="J10">
            <v>0.012145828077927</v>
          </cell>
          <cell r="K10">
            <v>0.0122944658341254</v>
          </cell>
          <cell r="L10">
            <v>0.0124218696251526</v>
          </cell>
          <cell r="M10">
            <v>0.0107443863766277</v>
          </cell>
          <cell r="N10">
            <v>0.0106382165507717</v>
          </cell>
          <cell r="O10">
            <v>0.0104895787945733</v>
          </cell>
        </row>
        <row r="11">
          <cell r="D11">
            <v>0.00244833978129295</v>
          </cell>
          <cell r="E11">
            <v>0.00619634408518507</v>
          </cell>
          <cell r="F11">
            <v>0.053471042722482</v>
          </cell>
          <cell r="G11">
            <v>0.37307502401218</v>
          </cell>
          <cell r="H11">
            <v>0.284577962568425</v>
          </cell>
          <cell r="I11">
            <v>0.142146319367425</v>
          </cell>
          <cell r="J11">
            <v>0.0398572762514133</v>
          </cell>
          <cell r="K11">
            <v>0.00939843344150906</v>
          </cell>
          <cell r="L11">
            <v>0.0164403772417892</v>
          </cell>
          <cell r="M11">
            <v>0.0190272401984881</v>
          </cell>
          <cell r="N11">
            <v>0.0229989359944144</v>
          </cell>
          <cell r="O11">
            <v>0.0303627043353964</v>
          </cell>
        </row>
        <row r="12">
          <cell r="D12">
            <v>0.00244833978129295</v>
          </cell>
          <cell r="E12">
            <v>0.00619634408518507</v>
          </cell>
          <cell r="F12">
            <v>0.053471042722482</v>
          </cell>
          <cell r="G12">
            <v>0.37307502401218</v>
          </cell>
          <cell r="H12">
            <v>0.284577962568425</v>
          </cell>
          <cell r="I12">
            <v>0.142146319367425</v>
          </cell>
          <cell r="J12">
            <v>0.0398572762514133</v>
          </cell>
          <cell r="K12">
            <v>0.00939843344150906</v>
          </cell>
          <cell r="L12">
            <v>0.0164403772417892</v>
          </cell>
          <cell r="M12">
            <v>0.0190272401984881</v>
          </cell>
          <cell r="N12">
            <v>0.0229989359944144</v>
          </cell>
          <cell r="O12">
            <v>0.0303627043353964</v>
          </cell>
        </row>
        <row r="13">
          <cell r="D13">
            <v>0.00244833978129295</v>
          </cell>
          <cell r="E13">
            <v>0.00619634408518507</v>
          </cell>
          <cell r="F13">
            <v>0.053471042722482</v>
          </cell>
          <cell r="G13">
            <v>0.37307502401218</v>
          </cell>
          <cell r="H13">
            <v>0.284577962568425</v>
          </cell>
          <cell r="I13">
            <v>0.142146319367425</v>
          </cell>
          <cell r="J13">
            <v>0.0398572762514133</v>
          </cell>
          <cell r="K13">
            <v>0.00939843344150906</v>
          </cell>
          <cell r="L13">
            <v>0.0164403772417892</v>
          </cell>
          <cell r="M13">
            <v>0.0190272401984881</v>
          </cell>
          <cell r="N13">
            <v>0.0229989359944144</v>
          </cell>
          <cell r="O13">
            <v>0.0303627043353964</v>
          </cell>
        </row>
        <row r="14">
          <cell r="D14">
            <v>0.00244833978129295</v>
          </cell>
          <cell r="E14">
            <v>0.00619634408518507</v>
          </cell>
          <cell r="F14">
            <v>0.053471042722482</v>
          </cell>
          <cell r="G14">
            <v>0.37307502401218</v>
          </cell>
          <cell r="H14">
            <v>0.284577962568425</v>
          </cell>
          <cell r="I14">
            <v>0.142146319367425</v>
          </cell>
          <cell r="J14">
            <v>0.0398572762514133</v>
          </cell>
          <cell r="K14">
            <v>0.00939843344150906</v>
          </cell>
          <cell r="L14">
            <v>0.0164403772417892</v>
          </cell>
          <cell r="M14">
            <v>0.0190272401984881</v>
          </cell>
          <cell r="N14">
            <v>0.0229989359944144</v>
          </cell>
          <cell r="O14">
            <v>0.0303627043353964</v>
          </cell>
        </row>
        <row r="15">
          <cell r="D15">
            <v>0.00244833978129295</v>
          </cell>
          <cell r="E15">
            <v>0.00619634408518507</v>
          </cell>
          <cell r="F15">
            <v>0.053471042722482</v>
          </cell>
          <cell r="G15">
            <v>0.37307502401218</v>
          </cell>
          <cell r="H15">
            <v>0.284577962568425</v>
          </cell>
          <cell r="I15">
            <v>0.142146319367425</v>
          </cell>
          <cell r="J15">
            <v>0.0398572762514133</v>
          </cell>
          <cell r="K15">
            <v>0.00939843344150906</v>
          </cell>
          <cell r="L15">
            <v>0.0164403772417892</v>
          </cell>
          <cell r="M15">
            <v>0.0190272401984881</v>
          </cell>
          <cell r="N15">
            <v>0.0229989359944144</v>
          </cell>
          <cell r="O15">
            <v>0.0303627043353964</v>
          </cell>
        </row>
        <row r="16">
          <cell r="D16">
            <v>0.00244833978129295</v>
          </cell>
          <cell r="E16">
            <v>0.00619634408518507</v>
          </cell>
          <cell r="F16">
            <v>0.053471042722482</v>
          </cell>
          <cell r="G16">
            <v>0.37307502401218</v>
          </cell>
          <cell r="H16">
            <v>0.284577962568425</v>
          </cell>
          <cell r="I16">
            <v>0.142146319367425</v>
          </cell>
          <cell r="J16">
            <v>0.0398572762514133</v>
          </cell>
          <cell r="K16">
            <v>0.00939843344150906</v>
          </cell>
          <cell r="L16">
            <v>0.0164403772417892</v>
          </cell>
          <cell r="M16">
            <v>0.0190272401984881</v>
          </cell>
          <cell r="N16">
            <v>0.0229989359944144</v>
          </cell>
          <cell r="O16">
            <v>0.0303627043353964</v>
          </cell>
        </row>
        <row r="17">
          <cell r="D17">
            <v>0.00244833978129295</v>
          </cell>
          <cell r="E17">
            <v>0.00619634408518507</v>
          </cell>
          <cell r="F17">
            <v>0.053471042722482</v>
          </cell>
          <cell r="G17">
            <v>0.37307502401218</v>
          </cell>
          <cell r="H17">
            <v>0.284577962568425</v>
          </cell>
          <cell r="I17">
            <v>0.142146319367425</v>
          </cell>
          <cell r="J17">
            <v>0.0398572762514133</v>
          </cell>
          <cell r="K17">
            <v>0.00939843344150906</v>
          </cell>
          <cell r="L17">
            <v>0.0164403772417892</v>
          </cell>
          <cell r="M17">
            <v>0.0190272401984881</v>
          </cell>
          <cell r="N17">
            <v>0.0229989359944144</v>
          </cell>
          <cell r="O17">
            <v>0.0303627043353964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8"/>
  <sheetViews>
    <sheetView tabSelected="1" workbookViewId="0">
      <selection activeCell="P28" sqref="P28"/>
    </sheetView>
  </sheetViews>
  <sheetFormatPr defaultColWidth="8.88888888888889" defaultRowHeight="14.4"/>
  <cols>
    <col min="15" max="15" width="11.2222222222222"/>
  </cols>
  <sheetData>
    <row r="1" ht="17.4" spans="1:1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6.4" spans="1:17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</row>
    <row r="5" spans="1:17">
      <c r="A5" s="6" t="s">
        <v>20</v>
      </c>
      <c r="B5" s="7" t="str">
        <f>[1]Annual_Production!I4</f>
        <v>FOI (secondary)</v>
      </c>
      <c r="C5" s="8">
        <f>[1]Annual_Production!$L4*[1]Shares!D4</f>
        <v>42118.4976714834</v>
      </c>
      <c r="D5" s="8">
        <f>[1]Annual_Production!$L4*[1]Shares!E4</f>
        <v>8036.39951790404</v>
      </c>
      <c r="E5" s="8">
        <f>[1]Annual_Production!$L4*[1]Shares!F4</f>
        <v>74348.6375438586</v>
      </c>
      <c r="F5" s="8">
        <f>[1]Annual_Production!$L4*[1]Shares!G4</f>
        <v>109913.818767258</v>
      </c>
      <c r="G5" s="8">
        <f>[1]Annual_Production!$L4*[1]Shares!H4</f>
        <v>132793.180542214</v>
      </c>
      <c r="H5" s="8">
        <f>[1]Annual_Production!$L4*[1]Shares!I4</f>
        <v>48459.8909508487</v>
      </c>
      <c r="I5" s="8">
        <f>[1]Annual_Production!$L4*[1]Shares!J4</f>
        <v>5421.29036258272</v>
      </c>
      <c r="J5" s="8">
        <f>[1]Annual_Production!$L4*[1]Shares!K4</f>
        <v>5487.63482506187</v>
      </c>
      <c r="K5" s="8">
        <f>[1]Annual_Production!$L4*[1]Shares!L4</f>
        <v>5544.50150718686</v>
      </c>
      <c r="L5" s="8">
        <f>[1]Annual_Production!$L4*[1]Shares!M4</f>
        <v>4795.75685920777</v>
      </c>
      <c r="M5" s="8">
        <f>[1]Annual_Production!$L4*[1]Shares!N4</f>
        <v>4748.36795743695</v>
      </c>
      <c r="N5" s="8">
        <f>[1]Annual_Production!$L4*[1]Shares!O4</f>
        <v>4682.02349495779</v>
      </c>
      <c r="O5" s="9">
        <f t="shared" ref="O5:O11" si="0">SUM(C5:N5)</f>
        <v>446350</v>
      </c>
      <c r="P5" s="10">
        <f t="shared" ref="P5:P11" si="1">O5/1000</f>
        <v>446.35</v>
      </c>
      <c r="Q5" s="11">
        <f>ROUND(O5-[1]Annual_Production!L4,2)</f>
        <v>0</v>
      </c>
    </row>
    <row r="6" spans="1:17">
      <c r="A6" s="6" t="s">
        <v>21</v>
      </c>
      <c r="B6" s="7" t="str">
        <f>[1]Annual_Production!I5</f>
        <v>FOI (secondary)</v>
      </c>
      <c r="C6" s="8">
        <f>[1]Annual_Production!$L5*[1]Shares!D5</f>
        <v>10908.2521134166</v>
      </c>
      <c r="D6" s="8">
        <f>[1]Annual_Production!$L5*[1]Shares!E5</f>
        <v>2081.34375326472</v>
      </c>
      <c r="E6" s="8">
        <f>[1]Annual_Production!$L5*[1]Shares!F5</f>
        <v>19255.5225721296</v>
      </c>
      <c r="F6" s="8">
        <f>[1]Annual_Production!$L5*[1]Shares!G5</f>
        <v>28466.5339968523</v>
      </c>
      <c r="G6" s="8">
        <f>[1]Annual_Production!$L5*[1]Shares!H5</f>
        <v>34392.0503431834</v>
      </c>
      <c r="H6" s="8">
        <f>[1]Annual_Production!$L5*[1]Shares!I5</f>
        <v>12550.6069091926</v>
      </c>
      <c r="I6" s="8">
        <f>[1]Annual_Production!$L5*[1]Shares!J5</f>
        <v>1404.05772580836</v>
      </c>
      <c r="J6" s="8">
        <f>[1]Annual_Production!$L5*[1]Shares!K5</f>
        <v>1421.2402504249</v>
      </c>
      <c r="K6" s="8">
        <f>[1]Annual_Production!$L5*[1]Shares!L5</f>
        <v>1435.96812866764</v>
      </c>
      <c r="L6" s="8">
        <f>[1]Annual_Production!$L5*[1]Shares!M5</f>
        <v>1242.05106513816</v>
      </c>
      <c r="M6" s="8">
        <f>[1]Annual_Production!$L5*[1]Shares!N5</f>
        <v>1229.77783326921</v>
      </c>
      <c r="N6" s="8">
        <f>[1]Annual_Production!$L5*[1]Shares!O5</f>
        <v>1212.59530865267</v>
      </c>
      <c r="O6" s="9">
        <f t="shared" si="0"/>
        <v>115600</v>
      </c>
      <c r="P6" s="10">
        <f t="shared" si="1"/>
        <v>115.6</v>
      </c>
      <c r="Q6" s="11">
        <f>ROUND(O6-[1]Annual_Production!L5,2)</f>
        <v>0</v>
      </c>
    </row>
    <row r="7" spans="1:17">
      <c r="A7" s="6" t="s">
        <v>22</v>
      </c>
      <c r="B7" s="7" t="str">
        <f>[1]Annual_Production!I6</f>
        <v>FOI (secondary)</v>
      </c>
      <c r="C7" s="8">
        <f>[1]Annual_Production!$L6*[1]Shares!D6</f>
        <v>61278.71040184</v>
      </c>
      <c r="D7" s="8">
        <f>[1]Annual_Production!$L6*[1]Shares!E6</f>
        <v>11692.2546139283</v>
      </c>
      <c r="E7" s="8">
        <f>[1]Annual_Production!$L6*[1]Shares!F6</f>
        <v>108170.729743434</v>
      </c>
      <c r="F7" s="8">
        <f>[1]Annual_Production!$L6*[1]Shares!G6</f>
        <v>159914.940982317</v>
      </c>
      <c r="G7" s="8">
        <f>[1]Annual_Production!$L6*[1]Shares!H6</f>
        <v>193202.400457295</v>
      </c>
      <c r="H7" s="8">
        <f>[1]Annual_Production!$L6*[1]Shares!I6</f>
        <v>70504.8799898759</v>
      </c>
      <c r="I7" s="8">
        <f>[1]Annual_Production!$L6*[1]Shares!J6</f>
        <v>7887.50075380579</v>
      </c>
      <c r="J7" s="8">
        <f>[1]Annual_Production!$L6*[1]Shares!K6</f>
        <v>7984.02611268103</v>
      </c>
      <c r="K7" s="8">
        <f>[1]Annual_Production!$L6*[1]Shares!L6</f>
        <v>8066.7621345741</v>
      </c>
      <c r="L7" s="8">
        <f>[1]Annual_Production!$L6*[1]Shares!M6</f>
        <v>6977.40451298203</v>
      </c>
      <c r="M7" s="8">
        <f>[1]Annual_Production!$L6*[1]Shares!N6</f>
        <v>6908.45782807114</v>
      </c>
      <c r="N7" s="8">
        <f>[1]Annual_Production!$L6*[1]Shares!O6</f>
        <v>6811.9324691959</v>
      </c>
      <c r="O7" s="9">
        <f t="shared" si="0"/>
        <v>649400</v>
      </c>
      <c r="P7" s="10">
        <f t="shared" si="1"/>
        <v>649.4</v>
      </c>
      <c r="Q7" s="11">
        <f>ROUND(O7-[1]Annual_Production!L6,2)</f>
        <v>0</v>
      </c>
    </row>
    <row r="8" spans="1:17">
      <c r="A8" s="6" t="s">
        <v>23</v>
      </c>
      <c r="B8" s="7" t="str">
        <f>[1]Annual_Production!I7</f>
        <v>FOI (secondary)</v>
      </c>
      <c r="C8" s="8">
        <f>[1]Annual_Production!$L7*[1]Shares!D7</f>
        <v>2059.45157764114</v>
      </c>
      <c r="D8" s="8">
        <f>[1]Annual_Production!$L7*[1]Shares!E7</f>
        <v>392.95265929933</v>
      </c>
      <c r="E8" s="8">
        <f>[1]Annual_Production!$L7*[1]Shares!F7</f>
        <v>3635.39602194402</v>
      </c>
      <c r="F8" s="8">
        <f>[1]Annual_Production!$L7*[1]Shares!G7</f>
        <v>5374.41266852337</v>
      </c>
      <c r="G8" s="8">
        <f>[1]Annual_Production!$L7*[1]Shares!H7</f>
        <v>6493.13580224894</v>
      </c>
      <c r="H8" s="8">
        <f>[1]Annual_Production!$L7*[1]Shares!I7</f>
        <v>2369.52418506166</v>
      </c>
      <c r="I8" s="8">
        <f>[1]Annual_Production!$L7*[1]Shares!J7</f>
        <v>265.082697800757</v>
      </c>
      <c r="J8" s="8">
        <f>[1]Annual_Production!$L7*[1]Shares!K7</f>
        <v>268.326716829787</v>
      </c>
      <c r="K8" s="8">
        <f>[1]Annual_Production!$L7*[1]Shares!L7</f>
        <v>271.107304568955</v>
      </c>
      <c r="L8" s="8">
        <f>[1]Annual_Production!$L7*[1]Shares!M7</f>
        <v>234.4962326699</v>
      </c>
      <c r="M8" s="8">
        <f>[1]Annual_Production!$L7*[1]Shares!N7</f>
        <v>232.179076220592</v>
      </c>
      <c r="N8" s="8">
        <f>[1]Annual_Production!$L7*[1]Shares!O7</f>
        <v>228.935057191562</v>
      </c>
      <c r="O8" s="9">
        <f t="shared" si="0"/>
        <v>21825</v>
      </c>
      <c r="P8" s="10">
        <f t="shared" si="1"/>
        <v>21.825</v>
      </c>
      <c r="Q8" s="11">
        <f>ROUND(O8-[1]Annual_Production!L7,2)</f>
        <v>0</v>
      </c>
    </row>
    <row r="9" spans="1:17">
      <c r="A9" s="6" t="s">
        <v>24</v>
      </c>
      <c r="B9" s="7" t="str">
        <f>[1]Annual_Production!I8</f>
        <v>FOI (secondary)</v>
      </c>
      <c r="C9" s="8">
        <f>[1]Annual_Production!$L8*[1]Shares!D8</f>
        <v>54660.8172749348</v>
      </c>
      <c r="D9" s="8">
        <f>[1]Annual_Production!$L8*[1]Shares!E8</f>
        <v>10429.5307259723</v>
      </c>
      <c r="E9" s="8">
        <f>[1]Annual_Production!$L8*[1]Shares!F8</f>
        <v>96488.6573857249</v>
      </c>
      <c r="F9" s="8">
        <f>[1]Annual_Production!$L8*[1]Shares!G8</f>
        <v>142644.669106874</v>
      </c>
      <c r="G9" s="8">
        <f>[1]Annual_Production!$L8*[1]Shares!H8</f>
        <v>172337.195727896</v>
      </c>
      <c r="H9" s="8">
        <f>[1]Annual_Production!$L8*[1]Shares!I8</f>
        <v>62890.59180335</v>
      </c>
      <c r="I9" s="8">
        <f>[1]Annual_Production!$L8*[1]Shares!J8</f>
        <v>7035.67739321654</v>
      </c>
      <c r="J9" s="8">
        <f>[1]Annual_Production!$L8*[1]Shares!K8</f>
        <v>7121.77834033632</v>
      </c>
      <c r="K9" s="8">
        <f>[1]Annual_Production!$L8*[1]Shares!L8</f>
        <v>7195.57915215327</v>
      </c>
      <c r="L9" s="8">
        <f>[1]Annual_Production!$L8*[1]Shares!M8</f>
        <v>6223.86846323</v>
      </c>
      <c r="M9" s="8">
        <f>[1]Annual_Production!$L8*[1]Shares!N8</f>
        <v>6162.36778671587</v>
      </c>
      <c r="N9" s="8">
        <f>[1]Annual_Production!$L8*[1]Shares!O8</f>
        <v>6076.26683959609</v>
      </c>
      <c r="O9" s="9">
        <f t="shared" si="0"/>
        <v>579267</v>
      </c>
      <c r="P9" s="10">
        <f t="shared" si="1"/>
        <v>579.267</v>
      </c>
      <c r="Q9" s="11">
        <f>ROUND(O9-[1]Annual_Production!L8,2)</f>
        <v>0</v>
      </c>
    </row>
    <row r="10" spans="1:17">
      <c r="A10" s="6" t="s">
        <v>25</v>
      </c>
      <c r="B10" s="7" t="str">
        <f>[1]Annual_Production!I9</f>
        <v>FOI (secondary)</v>
      </c>
      <c r="C10" s="8">
        <f>[1]Annual_Production!$L9*[1]Shares!D9</f>
        <v>33773.6848047197</v>
      </c>
      <c r="D10" s="8">
        <f>[1]Annual_Production!$L9*[1]Shares!E9</f>
        <v>6444.17154665653</v>
      </c>
      <c r="E10" s="8">
        <f>[1]Annual_Production!$L9*[1]Shares!F9</f>
        <v>59618.1627761794</v>
      </c>
      <c r="F10" s="8">
        <f>[1]Annual_Production!$L9*[1]Shares!G9</f>
        <v>88136.920259666</v>
      </c>
      <c r="G10" s="8">
        <f>[1]Annual_Production!$L9*[1]Shares!H9</f>
        <v>106483.262029678</v>
      </c>
      <c r="H10" s="8">
        <f>[1]Annual_Production!$L9*[1]Shares!I9</f>
        <v>38858.6766653164</v>
      </c>
      <c r="I10" s="8">
        <f>[1]Annual_Production!$L9*[1]Shares!J9</f>
        <v>4347.18620233932</v>
      </c>
      <c r="J10" s="8">
        <f>[1]Annual_Production!$L9*[1]Shares!K9</f>
        <v>4400.38603348683</v>
      </c>
      <c r="K10" s="8">
        <f>[1]Annual_Production!$L9*[1]Shares!L9</f>
        <v>4445.98588875612</v>
      </c>
      <c r="L10" s="8">
        <f>[1]Annual_Production!$L9*[1]Shares!M9</f>
        <v>3845.58779437708</v>
      </c>
      <c r="M10" s="8">
        <f>[1]Annual_Production!$L9*[1]Shares!N9</f>
        <v>3807.587914986</v>
      </c>
      <c r="N10" s="8">
        <f>[1]Annual_Production!$L9*[1]Shares!O9</f>
        <v>3754.3880838385</v>
      </c>
      <c r="O10" s="9">
        <f t="shared" si="0"/>
        <v>357916</v>
      </c>
      <c r="P10" s="10">
        <f t="shared" si="1"/>
        <v>357.916</v>
      </c>
      <c r="Q10" s="11">
        <f>ROUND(O10-[1]Annual_Production!L9,2)</f>
        <v>0</v>
      </c>
    </row>
    <row r="11" spans="1:17">
      <c r="A11" s="6" t="s">
        <v>26</v>
      </c>
      <c r="B11" s="7" t="str">
        <f>[1]Annual_Production!I10</f>
        <v>Primary</v>
      </c>
      <c r="C11" s="8">
        <f>[1]Annual_Production!$L10*[1]Shares!D10</f>
        <v>9766.47139912295</v>
      </c>
      <c r="D11" s="8">
        <f>[1]Annual_Production!$L10*[1]Shares!E10</f>
        <v>1863.48683791435</v>
      </c>
      <c r="E11" s="8">
        <f>[1]Annual_Production!$L10*[1]Shares!F10</f>
        <v>17240.0223721057</v>
      </c>
      <c r="F11" s="8">
        <f>[1]Annual_Production!$L10*[1]Shares!G10</f>
        <v>25486.9054383583</v>
      </c>
      <c r="G11" s="8">
        <f>[1]Annual_Production!$L10*[1]Shares!H10</f>
        <v>30792.1904024176</v>
      </c>
      <c r="H11" s="8">
        <f>[1]Annual_Production!$L10*[1]Shares!I10</f>
        <v>11236.9188157563</v>
      </c>
      <c r="I11" s="8">
        <f>[1]Annual_Production!$L10*[1]Shares!J10</f>
        <v>1257.09320606544</v>
      </c>
      <c r="J11" s="8">
        <f>[1]Annual_Production!$L10*[1]Shares!K10</f>
        <v>1272.47721383198</v>
      </c>
      <c r="K11" s="8">
        <f>[1]Annual_Production!$L10*[1]Shares!L10</f>
        <v>1285.66350620329</v>
      </c>
      <c r="L11" s="8">
        <f>[1]Annual_Production!$L10*[1]Shares!M10</f>
        <v>1112.04398998097</v>
      </c>
      <c r="M11" s="8">
        <f>[1]Annual_Production!$L10*[1]Shares!N10</f>
        <v>1101.05541300487</v>
      </c>
      <c r="N11" s="8">
        <f>[1]Annual_Production!$L10*[1]Shares!O10</f>
        <v>1085.67140523834</v>
      </c>
      <c r="O11" s="9">
        <f t="shared" si="0"/>
        <v>103500</v>
      </c>
      <c r="P11" s="10">
        <f t="shared" si="1"/>
        <v>103.5</v>
      </c>
      <c r="Q11" s="11">
        <f>ROUND(O11-[1]Annual_Production!L10,2)</f>
        <v>0</v>
      </c>
    </row>
    <row r="12" spans="1:17">
      <c r="A12" s="6" t="s">
        <v>27</v>
      </c>
      <c r="B12" s="2"/>
      <c r="C12" s="9">
        <f t="shared" ref="C12:P12" si="2">SUM(C5:C11)</f>
        <v>214565.885243159</v>
      </c>
      <c r="D12" s="9">
        <f t="shared" si="2"/>
        <v>40940.1396549395</v>
      </c>
      <c r="E12" s="9">
        <f t="shared" si="2"/>
        <v>378757.128415376</v>
      </c>
      <c r="F12" s="9">
        <f t="shared" si="2"/>
        <v>559938.20121985</v>
      </c>
      <c r="G12" s="9">
        <f t="shared" si="2"/>
        <v>676493.415304933</v>
      </c>
      <c r="H12" s="9">
        <f t="shared" si="2"/>
        <v>246871.089319401</v>
      </c>
      <c r="I12" s="9">
        <f t="shared" si="2"/>
        <v>27617.8883416189</v>
      </c>
      <c r="J12" s="9">
        <f t="shared" si="2"/>
        <v>27955.8694926527</v>
      </c>
      <c r="K12" s="9">
        <f t="shared" si="2"/>
        <v>28245.5676221102</v>
      </c>
      <c r="L12" s="9">
        <f t="shared" si="2"/>
        <v>24431.2089175859</v>
      </c>
      <c r="M12" s="9">
        <f t="shared" si="2"/>
        <v>24189.7938097046</v>
      </c>
      <c r="N12" s="9">
        <f t="shared" si="2"/>
        <v>23851.8126586709</v>
      </c>
      <c r="O12" s="9">
        <f t="shared" si="2"/>
        <v>2273858</v>
      </c>
      <c r="P12" s="12">
        <f t="shared" si="2"/>
        <v>2273.858</v>
      </c>
      <c r="Q12" s="2"/>
    </row>
    <row r="13" spans="1:17">
      <c r="A13" s="13" t="s">
        <v>28</v>
      </c>
      <c r="B13" s="2"/>
      <c r="C13" s="14">
        <f>[1]Seasonal_Profile!B4</f>
        <v>222196</v>
      </c>
      <c r="D13" s="14">
        <f>[1]Seasonal_Profile!C4</f>
        <v>42396</v>
      </c>
      <c r="E13" s="14">
        <f>[1]Seasonal_Profile!D4</f>
        <v>392226</v>
      </c>
      <c r="F13" s="14">
        <f>[1]Seasonal_Profile!E4</f>
        <v>579850</v>
      </c>
      <c r="G13" s="14">
        <f>[1]Seasonal_Profile!F4</f>
        <v>700550</v>
      </c>
      <c r="H13" s="14">
        <f>[1]Seasonal_Profile!G4</f>
        <v>255650</v>
      </c>
      <c r="I13" s="14">
        <f>[1]Seasonal_Profile!H4</f>
        <v>28600</v>
      </c>
      <c r="J13" s="14">
        <f>[1]Seasonal_Profile!I4</f>
        <v>28950</v>
      </c>
      <c r="K13" s="14">
        <f>[1]Seasonal_Profile!J4</f>
        <v>29250</v>
      </c>
      <c r="L13" s="14">
        <f>[1]Seasonal_Profile!K4</f>
        <v>25300</v>
      </c>
      <c r="M13" s="14">
        <f>[1]Seasonal_Profile!L4</f>
        <v>25050</v>
      </c>
      <c r="N13" s="14">
        <f>[1]Seasonal_Profile!M4</f>
        <v>24700</v>
      </c>
      <c r="O13" s="15">
        <f>SUM(C13:N13)</f>
        <v>2354718</v>
      </c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4" t="s">
        <v>29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6.4" spans="1:17">
      <c r="A18" s="5" t="s">
        <v>3</v>
      </c>
      <c r="B18" s="5" t="s">
        <v>4</v>
      </c>
      <c r="C18" s="5" t="s">
        <v>5</v>
      </c>
      <c r="D18" s="5" t="s">
        <v>6</v>
      </c>
      <c r="E18" s="5" t="s">
        <v>7</v>
      </c>
      <c r="F18" s="5" t="s">
        <v>8</v>
      </c>
      <c r="G18" s="5" t="s">
        <v>9</v>
      </c>
      <c r="H18" s="5" t="s">
        <v>10</v>
      </c>
      <c r="I18" s="5" t="s">
        <v>11</v>
      </c>
      <c r="J18" s="5" t="s">
        <v>12</v>
      </c>
      <c r="K18" s="5" t="s">
        <v>13</v>
      </c>
      <c r="L18" s="5" t="s">
        <v>14</v>
      </c>
      <c r="M18" s="5" t="s">
        <v>15</v>
      </c>
      <c r="N18" s="5" t="s">
        <v>16</v>
      </c>
      <c r="O18" s="5" t="s">
        <v>17</v>
      </c>
      <c r="P18" s="5" t="s">
        <v>18</v>
      </c>
      <c r="Q18" s="5" t="s">
        <v>19</v>
      </c>
    </row>
    <row r="19" spans="1:17">
      <c r="A19" s="6" t="s">
        <v>20</v>
      </c>
      <c r="B19" s="7" t="str">
        <f>[1]Annual_Production!J4</f>
        <v>Primary</v>
      </c>
      <c r="C19" s="8">
        <f>[1]Annual_Production!$M4*[1]Shares!D11</f>
        <v>2691.36198798409</v>
      </c>
      <c r="D19" s="8">
        <f>[1]Annual_Production!$M4*[1]Shares!E11</f>
        <v>6811.39319908054</v>
      </c>
      <c r="E19" s="8">
        <f>[1]Annual_Production!$M4*[1]Shares!F11</f>
        <v>58778.5784231156</v>
      </c>
      <c r="F19" s="8">
        <f>[1]Annual_Production!$M4*[1]Shares!G11</f>
        <v>410106.450895629</v>
      </c>
      <c r="G19" s="8">
        <f>[1]Annual_Production!$M4*[1]Shares!H11</f>
        <v>312825.171132967</v>
      </c>
      <c r="H19" s="8">
        <f>[1]Annual_Production!$M4*[1]Shares!I11</f>
        <v>156255.763027836</v>
      </c>
      <c r="I19" s="8">
        <f>[1]Annual_Production!$M4*[1]Shares!J11</f>
        <v>43813.5094921286</v>
      </c>
      <c r="J19" s="8">
        <f>[1]Annual_Production!$M4*[1]Shares!K11</f>
        <v>10331.3219449132</v>
      </c>
      <c r="K19" s="8">
        <f>[1]Annual_Production!$M4*[1]Shares!L11</f>
        <v>18072.2490868092</v>
      </c>
      <c r="L19" s="8">
        <f>[1]Annual_Production!$M4*[1]Shares!M11</f>
        <v>20915.88406059</v>
      </c>
      <c r="M19" s="8">
        <f>[1]Annual_Production!$M4*[1]Shares!N11</f>
        <v>25281.81038122</v>
      </c>
      <c r="N19" s="8">
        <f>[1]Annual_Production!$M4*[1]Shares!O11</f>
        <v>33376.5063677278</v>
      </c>
      <c r="O19" s="9">
        <f t="shared" ref="O19:O25" si="3">SUM(C19:N19)</f>
        <v>1099260</v>
      </c>
      <c r="P19" s="10">
        <f t="shared" ref="P19:P25" si="4">O19/1000</f>
        <v>1099.26</v>
      </c>
      <c r="Q19" s="11">
        <f>ROUND(O19-[1]Annual_Production!M4,2)</f>
        <v>0</v>
      </c>
    </row>
    <row r="20" spans="1:17">
      <c r="A20" s="6" t="s">
        <v>21</v>
      </c>
      <c r="B20" s="7" t="str">
        <f>[1]Annual_Production!J5</f>
        <v>FOI (secondary)</v>
      </c>
      <c r="C20" s="8">
        <f>[1]Annual_Production!$M5*[1]Shares!D12</f>
        <v>3261.70518837606</v>
      </c>
      <c r="D20" s="8">
        <f>[1]Annual_Production!$M5*[1]Shares!E12</f>
        <v>8254.83775006849</v>
      </c>
      <c r="E20" s="8">
        <f>[1]Annual_Production!$M5*[1]Shares!F12</f>
        <v>71234.7112963605</v>
      </c>
      <c r="F20" s="8">
        <f>[1]Annual_Production!$M5*[1]Shares!G12</f>
        <v>497014.65081429</v>
      </c>
      <c r="G20" s="8">
        <f>[1]Annual_Production!$M5*[1]Shares!H12</f>
        <v>379117.892091244</v>
      </c>
      <c r="H20" s="8">
        <f>[1]Annual_Production!$M5*[1]Shares!I12</f>
        <v>189368.890270797</v>
      </c>
      <c r="I20" s="8">
        <f>[1]Annual_Production!$M5*[1]Shares!J12</f>
        <v>53098.3018521716</v>
      </c>
      <c r="J20" s="8">
        <f>[1]Annual_Production!$M5*[1]Shares!K12</f>
        <v>12520.6964135462</v>
      </c>
      <c r="K20" s="8">
        <f>[1]Annual_Production!$M5*[1]Shares!L12</f>
        <v>21902.0514056612</v>
      </c>
      <c r="L20" s="8">
        <f>[1]Annual_Production!$M5*[1]Shares!M12</f>
        <v>25348.298692068</v>
      </c>
      <c r="M20" s="8">
        <f>[1]Annual_Production!$M5*[1]Shares!N12</f>
        <v>30639.4355200548</v>
      </c>
      <c r="N20" s="8">
        <f>[1]Annual_Production!$M5*[1]Shares!O12</f>
        <v>40449.5287053628</v>
      </c>
      <c r="O20" s="9">
        <f t="shared" si="3"/>
        <v>1332211</v>
      </c>
      <c r="P20" s="10">
        <f t="shared" si="4"/>
        <v>1332.211</v>
      </c>
      <c r="Q20" s="11">
        <f>ROUND(O20-[1]Annual_Production!M5,2)</f>
        <v>0</v>
      </c>
    </row>
    <row r="21" spans="1:17">
      <c r="A21" s="6" t="s">
        <v>22</v>
      </c>
      <c r="B21" s="7" t="str">
        <f>[1]Annual_Production!J6</f>
        <v>FOI (secondary)</v>
      </c>
      <c r="C21" s="8">
        <f>[1]Annual_Production!$M6*[1]Shares!D13</f>
        <v>1488.10091906986</v>
      </c>
      <c r="D21" s="8">
        <f>[1]Annual_Production!$M6*[1]Shares!E13</f>
        <v>3766.13793497549</v>
      </c>
      <c r="E21" s="8">
        <f>[1]Annual_Production!$M6*[1]Shares!F13</f>
        <v>32499.6997667246</v>
      </c>
      <c r="F21" s="8">
        <f>[1]Annual_Production!$M6*[1]Shares!G13</f>
        <v>226754.999594603</v>
      </c>
      <c r="G21" s="8">
        <f>[1]Annual_Production!$M6*[1]Shares!H13</f>
        <v>172966.485649089</v>
      </c>
      <c r="H21" s="8">
        <f>[1]Annual_Production!$M6*[1]Shares!I13</f>
        <v>86396.5329115209</v>
      </c>
      <c r="I21" s="8">
        <f>[1]Annual_Production!$M6*[1]Shares!J13</f>
        <v>24225.252505609</v>
      </c>
      <c r="J21" s="8">
        <f>[1]Annual_Production!$M6*[1]Shares!K13</f>
        <v>5712.36784574921</v>
      </c>
      <c r="K21" s="8">
        <f>[1]Annual_Production!$M6*[1]Shares!L13</f>
        <v>9992.46128755948</v>
      </c>
      <c r="L21" s="8">
        <f>[1]Annual_Production!$M6*[1]Shares!M13</f>
        <v>11564.7565926411</v>
      </c>
      <c r="M21" s="8">
        <f>[1]Annual_Production!$M6*[1]Shares!N13</f>
        <v>13978.7532974051</v>
      </c>
      <c r="N21" s="8">
        <f>[1]Annual_Production!$M6*[1]Shares!O13</f>
        <v>18454.4516950539</v>
      </c>
      <c r="O21" s="9">
        <f t="shared" si="3"/>
        <v>607800</v>
      </c>
      <c r="P21" s="10">
        <f t="shared" si="4"/>
        <v>607.8</v>
      </c>
      <c r="Q21" s="11">
        <f>ROUND(O21-[1]Annual_Production!M6,2)</f>
        <v>0</v>
      </c>
    </row>
    <row r="22" spans="1:17">
      <c r="A22" s="6" t="s">
        <v>23</v>
      </c>
      <c r="B22" s="7" t="str">
        <f>[1]Annual_Production!J7</f>
        <v>FOI (secondary)</v>
      </c>
      <c r="C22" s="8">
        <f>[1]Annual_Production!$M7*[1]Shares!D14</f>
        <v>10924.2888919273</v>
      </c>
      <c r="D22" s="8">
        <f>[1]Annual_Production!$M7*[1]Shares!E14</f>
        <v>27647.5730115367</v>
      </c>
      <c r="E22" s="8">
        <f>[1]Annual_Production!$M7*[1]Shares!F14</f>
        <v>238583.354531169</v>
      </c>
      <c r="F22" s="8">
        <f>[1]Annual_Production!$M7*[1]Shares!G14</f>
        <v>1664629.79191535</v>
      </c>
      <c r="G22" s="8">
        <f>[1]Annual_Production!$M7*[1]Shares!H14</f>
        <v>1269763.24900942</v>
      </c>
      <c r="H22" s="8">
        <f>[1]Annual_Production!$M7*[1]Shares!I14</f>
        <v>634245.078872943</v>
      </c>
      <c r="I22" s="8">
        <f>[1]Annual_Production!$M7*[1]Shares!J14</f>
        <v>177839.858479877</v>
      </c>
      <c r="J22" s="8">
        <f>[1]Annual_Production!$M7*[1]Shares!K14</f>
        <v>41935.0299460378</v>
      </c>
      <c r="K22" s="8">
        <f>[1]Annual_Production!$M7*[1]Shares!L14</f>
        <v>73355.5987015523</v>
      </c>
      <c r="L22" s="8">
        <f>[1]Annual_Production!$M7*[1]Shares!M14</f>
        <v>84897.9665047174</v>
      </c>
      <c r="M22" s="8">
        <f>[1]Annual_Production!$M7*[1]Shares!N14</f>
        <v>102619.34349539</v>
      </c>
      <c r="N22" s="8">
        <f>[1]Annual_Production!$M7*[1]Shares!O14</f>
        <v>135475.866640079</v>
      </c>
      <c r="O22" s="9">
        <f t="shared" si="3"/>
        <v>4461917</v>
      </c>
      <c r="P22" s="10">
        <f t="shared" si="4"/>
        <v>4461.917</v>
      </c>
      <c r="Q22" s="11">
        <f>ROUND(O22-[1]Annual_Production!M7,2)</f>
        <v>0</v>
      </c>
    </row>
    <row r="23" spans="1:17">
      <c r="A23" s="6" t="s">
        <v>24</v>
      </c>
      <c r="B23" s="7" t="str">
        <f>[1]Annual_Production!J8</f>
        <v>FOI (secondary)</v>
      </c>
      <c r="C23" s="8">
        <f>[1]Annual_Production!$M8*[1]Shares!D15</f>
        <v>1900.92528295278</v>
      </c>
      <c r="D23" s="8">
        <f>[1]Annual_Production!$M8*[1]Shares!E15</f>
        <v>4810.92829655488</v>
      </c>
      <c r="E23" s="8">
        <f>[1]Annual_Production!$M8*[1]Shares!F15</f>
        <v>41515.6661643331</v>
      </c>
      <c r="F23" s="8">
        <f>[1]Annual_Production!$M8*[1]Shares!G15</f>
        <v>289660.671693393</v>
      </c>
      <c r="G23" s="8">
        <f>[1]Annual_Production!$M8*[1]Shares!H15</f>
        <v>220950.314229601</v>
      </c>
      <c r="H23" s="8">
        <f>[1]Annual_Production!$M8*[1]Shares!I15</f>
        <v>110364.39240534</v>
      </c>
      <c r="I23" s="8">
        <f>[1]Annual_Production!$M8*[1]Shares!J15</f>
        <v>30945.7472834648</v>
      </c>
      <c r="J23" s="8">
        <f>[1]Annual_Production!$M8*[1]Shares!K15</f>
        <v>7297.07530205581</v>
      </c>
      <c r="K23" s="8">
        <f>[1]Annual_Production!$M8*[1]Shares!L15</f>
        <v>12764.5390558065</v>
      </c>
      <c r="L23" s="8">
        <f>[1]Annual_Production!$M8*[1]Shares!M15</f>
        <v>14773.0156714689</v>
      </c>
      <c r="M23" s="8">
        <f>[1]Annual_Production!$M8*[1]Shares!N15</f>
        <v>17856.6958911673</v>
      </c>
      <c r="N23" s="8">
        <f>[1]Annual_Production!$M8*[1]Shares!O15</f>
        <v>23574.0287238625</v>
      </c>
      <c r="O23" s="9">
        <f t="shared" si="3"/>
        <v>776414</v>
      </c>
      <c r="P23" s="10">
        <f t="shared" si="4"/>
        <v>776.414</v>
      </c>
      <c r="Q23" s="11">
        <f>ROUND(O23-[1]Annual_Production!M8,2)</f>
        <v>0</v>
      </c>
    </row>
    <row r="24" spans="1:17">
      <c r="A24" s="6" t="s">
        <v>25</v>
      </c>
      <c r="B24" s="7" t="str">
        <f>[1]Annual_Production!J9</f>
        <v>FOI (secondary)</v>
      </c>
      <c r="C24" s="8">
        <f>[1]Annual_Production!$M9*[1]Shares!D16</f>
        <v>3517.34124162042</v>
      </c>
      <c r="D24" s="8">
        <f>[1]Annual_Production!$M9*[1]Shares!E16</f>
        <v>8901.81042869083</v>
      </c>
      <c r="E24" s="8">
        <f>[1]Annual_Production!$M9*[1]Shares!F16</f>
        <v>76817.7298091003</v>
      </c>
      <c r="F24" s="8">
        <f>[1]Annual_Production!$M9*[1]Shares!G16</f>
        <v>535968.16022145</v>
      </c>
      <c r="G24" s="8">
        <f>[1]Annual_Production!$M9*[1]Shares!H16</f>
        <v>408831.246318938</v>
      </c>
      <c r="H24" s="8">
        <f>[1]Annual_Production!$M9*[1]Shares!I16</f>
        <v>204210.671768588</v>
      </c>
      <c r="I24" s="8">
        <f>[1]Annual_Production!$M9*[1]Shares!J16</f>
        <v>57259.8797801341</v>
      </c>
      <c r="J24" s="8">
        <f>[1]Annual_Production!$M9*[1]Shares!K16</f>
        <v>13502.0056460411</v>
      </c>
      <c r="K24" s="8">
        <f>[1]Annual_Production!$M9*[1]Shares!L16</f>
        <v>23618.6240742309</v>
      </c>
      <c r="L24" s="8">
        <f>[1]Annual_Production!$M9*[1]Shares!M16</f>
        <v>27334.9708956726</v>
      </c>
      <c r="M24" s="8">
        <f>[1]Annual_Production!$M9*[1]Shares!N16</f>
        <v>33040.8004251036</v>
      </c>
      <c r="N24" s="8">
        <f>[1]Annual_Production!$M9*[1]Shares!O16</f>
        <v>43619.7593904302</v>
      </c>
      <c r="O24" s="9">
        <f t="shared" si="3"/>
        <v>1436623</v>
      </c>
      <c r="P24" s="10">
        <f t="shared" si="4"/>
        <v>1436.623</v>
      </c>
      <c r="Q24" s="11">
        <f>ROUND(O24-[1]Annual_Production!M9,2)</f>
        <v>0</v>
      </c>
    </row>
    <row r="25" spans="1:17">
      <c r="A25" s="6" t="s">
        <v>26</v>
      </c>
      <c r="B25" s="7" t="str">
        <f>[1]Annual_Production!J10</f>
        <v>Primary</v>
      </c>
      <c r="C25" s="8">
        <f>[1]Annual_Production!$M10*[1]Shares!D17</f>
        <v>259.524016817053</v>
      </c>
      <c r="D25" s="8">
        <f>[1]Annual_Production!$M10*[1]Shares!E17</f>
        <v>656.812473029617</v>
      </c>
      <c r="E25" s="8">
        <f>[1]Annual_Production!$M10*[1]Shares!F17</f>
        <v>5667.93052858309</v>
      </c>
      <c r="F25" s="8">
        <f>[1]Annual_Production!$M10*[1]Shares!G17</f>
        <v>39545.9525452911</v>
      </c>
      <c r="G25" s="8">
        <f>[1]Annual_Production!$M10*[1]Shares!H17</f>
        <v>30165.264032253</v>
      </c>
      <c r="H25" s="8">
        <f>[1]Annual_Production!$M10*[1]Shares!I17</f>
        <v>15067.5098529471</v>
      </c>
      <c r="I25" s="8">
        <f>[1]Annual_Production!$M10*[1]Shares!J17</f>
        <v>4224.87128264981</v>
      </c>
      <c r="J25" s="8">
        <f>[1]Annual_Production!$M10*[1]Shares!K17</f>
        <v>996.23394479996</v>
      </c>
      <c r="K25" s="8">
        <f>[1]Annual_Production!$M10*[1]Shares!L17</f>
        <v>1742.67998762965</v>
      </c>
      <c r="L25" s="8">
        <f>[1]Annual_Production!$M10*[1]Shares!M17</f>
        <v>2016.88746103974</v>
      </c>
      <c r="M25" s="8">
        <f>[1]Annual_Production!$M10*[1]Shares!N17</f>
        <v>2437.88721540793</v>
      </c>
      <c r="N25" s="8">
        <f>[1]Annual_Production!$M10*[1]Shares!O17</f>
        <v>3218.44665955202</v>
      </c>
      <c r="O25" s="9">
        <f t="shared" si="3"/>
        <v>106000</v>
      </c>
      <c r="P25" s="10">
        <f t="shared" si="4"/>
        <v>106</v>
      </c>
      <c r="Q25" s="11">
        <f>ROUND(O25-[1]Annual_Production!M10,2)</f>
        <v>0</v>
      </c>
    </row>
    <row r="26" spans="1:17">
      <c r="A26" s="6" t="s">
        <v>27</v>
      </c>
      <c r="B26" s="2"/>
      <c r="C26" s="9">
        <f t="shared" ref="C26:P26" si="5">SUM(C19:C25)</f>
        <v>24043.2475287476</v>
      </c>
      <c r="D26" s="9">
        <f t="shared" si="5"/>
        <v>60849.4930939366</v>
      </c>
      <c r="E26" s="9">
        <f t="shared" si="5"/>
        <v>525097.670519386</v>
      </c>
      <c r="F26" s="9">
        <f t="shared" si="5"/>
        <v>3663680.67768001</v>
      </c>
      <c r="G26" s="9">
        <f t="shared" si="5"/>
        <v>2794619.62246351</v>
      </c>
      <c r="H26" s="9">
        <f t="shared" si="5"/>
        <v>1395908.83910997</v>
      </c>
      <c r="I26" s="9">
        <f t="shared" si="5"/>
        <v>391407.420676035</v>
      </c>
      <c r="J26" s="9">
        <f t="shared" si="5"/>
        <v>92294.7310431433</v>
      </c>
      <c r="K26" s="9">
        <f t="shared" si="5"/>
        <v>161448.203599249</v>
      </c>
      <c r="L26" s="9">
        <f t="shared" si="5"/>
        <v>186851.779878198</v>
      </c>
      <c r="M26" s="9">
        <f t="shared" si="5"/>
        <v>225854.726225748</v>
      </c>
      <c r="N26" s="9">
        <f t="shared" si="5"/>
        <v>298168.588182068</v>
      </c>
      <c r="O26" s="9">
        <f t="shared" si="5"/>
        <v>9820225</v>
      </c>
      <c r="P26" s="12">
        <f t="shared" si="5"/>
        <v>9820.22500000001</v>
      </c>
      <c r="Q26" s="2"/>
    </row>
    <row r="27" spans="1:17">
      <c r="A27" s="13" t="s">
        <v>28</v>
      </c>
      <c r="B27" s="2"/>
      <c r="C27" s="14">
        <f>[1]Seasonal_Profile!B5</f>
        <v>24550</v>
      </c>
      <c r="D27" s="14">
        <f>[1]Seasonal_Profile!C5</f>
        <v>62132</v>
      </c>
      <c r="E27" s="14">
        <f>[1]Seasonal_Profile!D5</f>
        <v>536165</v>
      </c>
      <c r="F27" s="14">
        <f>[1]Seasonal_Profile!E5</f>
        <v>3740899</v>
      </c>
      <c r="G27" s="14">
        <f>[1]Seasonal_Profile!F5</f>
        <v>2853521</v>
      </c>
      <c r="H27" s="14">
        <f>[1]Seasonal_Profile!G5</f>
        <v>1425330</v>
      </c>
      <c r="I27" s="14">
        <f>[1]Seasonal_Profile!H5</f>
        <v>399657</v>
      </c>
      <c r="J27" s="14">
        <f>[1]Seasonal_Profile!I5</f>
        <v>94240</v>
      </c>
      <c r="K27" s="14">
        <f>[1]Seasonal_Profile!J5</f>
        <v>164851</v>
      </c>
      <c r="L27" s="14">
        <f>[1]Seasonal_Profile!K5</f>
        <v>190790</v>
      </c>
      <c r="M27" s="14">
        <f>[1]Seasonal_Profile!L5</f>
        <v>230615</v>
      </c>
      <c r="N27" s="14">
        <f>[1]Seasonal_Profile!M5</f>
        <v>304453</v>
      </c>
      <c r="O27" s="15">
        <f>SUM(C27:N27)</f>
        <v>10027203</v>
      </c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cuadr</dc:creator>
  <cp:lastModifiedBy>Prince Argie Mabalot</cp:lastModifiedBy>
  <dcterms:created xsi:type="dcterms:W3CDTF">2026-10-25T12:25:18Z</dcterms:created>
  <dcterms:modified xsi:type="dcterms:W3CDTF">2026-10-25T12:26:44Z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0129FE533EBB4D3582BCED87517BE759_11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